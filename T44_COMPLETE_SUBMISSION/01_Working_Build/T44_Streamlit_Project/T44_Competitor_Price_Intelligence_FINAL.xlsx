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9472191dd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Brief" sheetId="1" r:id="R7c0b7c49548042ef"/>
    <x:sheet xmlns:r="http://schemas.openxmlformats.org/officeDocument/2006/relationships" name="Price Tracker" sheetId="2" r:id="R974977d4ac564e80"/>
    <x:sheet xmlns:r="http://schemas.openxmlformats.org/officeDocument/2006/relationships" name="Data Dictionary" sheetId="3" r:id="R1b40569e6ce544f0"/>
    <x:sheet xmlns:r="http://schemas.openxmlformats.org/officeDocument/2006/relationships" name="AI Use Log" sheetId="4" r:id="R92fcf6d75ce1427c"/>
    <x:sheet xmlns:r="http://schemas.openxmlformats.org/officeDocument/2006/relationships" name="Executive Dashboard" sheetId="5" r:id="R2c7e0e20aae64d34"/>
    <x:sheet xmlns:r="http://schemas.openxmlformats.org/officeDocument/2006/relationships" name="Price Gap Analysis" sheetId="6" r:id="R8610c77a833a4953"/>
    <x:sheet xmlns:r="http://schemas.openxmlformats.org/officeDocument/2006/relationships" name="Category Summary" sheetId="7" r:id="Rdab1ce15df354ba1"/>
    <x:sheet xmlns:r="http://schemas.openxmlformats.org/officeDocument/2006/relationships" name="Platform Summary" sheetId="8" r:id="Rd19b6288840c40eb"/>
    <x:sheet xmlns:r="http://schemas.openxmlformats.org/officeDocument/2006/relationships" name="Product Summary" sheetId="9" r:id="Rdfbc91fd3cfd4c02"/>
    <x:sheet xmlns:r="http://schemas.openxmlformats.org/officeDocument/2006/relationships" name="Weekly Trend" sheetId="10" r:id="Rb9ca296b948b4c48"/>
    <x:sheet xmlns:r="http://schemas.openxmlformats.org/officeDocument/2006/relationships" name="Latest Week" sheetId="11" r:id="Rd2b706b936a1413a"/>
    <x:sheet xmlns:r="http://schemas.openxmlformats.org/officeDocument/2006/relationships" name="Weekly Brief" sheetId="12" r:id="R6652fface4014944"/>
    <x:sheet xmlns:r="http://schemas.openxmlformats.org/officeDocument/2006/relationships" name="Recommendations" sheetId="13" r:id="Rcde8171d8f084b9b"/>
    <x:sheet xmlns:r="http://schemas.openxmlformats.org/officeDocument/2006/relationships" name="Verification" sheetId="14" r:id="R437fe62863e24134"/>
    <x:sheet xmlns:r="http://schemas.openxmlformats.org/officeDocument/2006/relationships" name="AI Evidence Index" sheetId="15" r:id="Ref575e7b93e44b39"/>
    <x:sheet xmlns:r="http://schemas.openxmlformats.org/officeDocument/2006/relationships" name="Submission Guide" sheetId="16" r:id="R45accc05a2fa41ee"/>
  </x:sheets>
</x:workbook>
</file>

<file path=xl/sharedStrings.xml><?xml version="1.0" encoding="utf-8"?>
<x:sst xmlns:x="http://schemas.openxmlformats.org/spreadsheetml/2006/main">
  <x:si>
    <x:t xml:space="preserve">T44  Competitor price intelligence brief</x:t>
  </x:si>
  <x:si>
    <x:t xml:space="preserve">Mini project | 30 marks | Build something with free LLM tools</x:t>
  </x:si>
  <x:si>
    <x:t xml:space="preserve">Task ID</x:t>
  </x:si>
  <x:si>
    <x:t xml:space="preserve">T44</x:t>
  </x:si>
  <x:si>
    <x:t xml:space="preserve">Task</x:t>
  </x:si>
  <x:si>
    <x:t xml:space="preserve">Competitor price intelligence brief</x:t>
  </x:si>
  <x:si>
    <x:t xml:space="preserve">Theme</x:t>
  </x:si>
  <x:si>
    <x:t xml:space="preserve">AI text analytics</x:t>
  </x:si>
  <x:si>
    <x:t xml:space="preserve">Suggested free tools</x:t>
  </x:si>
  <x:si>
    <x:t xml:space="preserve">Free tiers of ChatGPT, Gemini, Claude or Microsoft Copilot; Excel / Google Sheets to score results</x:t>
  </x:si>
  <x:si>
    <x:t xml:space="preserve">What students do</x:t>
  </x:si>
  <x:si>
    <x:t xml:space="preserve">1. Analyse price gaps vs competitors by category and platform.
2. Ask an LLM to write a weekly brief; verify every number.
3. Identify products where we are overpriced and underpriced.
4. Recommend price moves.</x:t>
  </x:si>
  <x:si>
    <x:t xml:space="preserve">Deliverables</x:t>
  </x:si>
  <x:si>
    <x:t xml:space="preserve">Price-gap analysis; weekly brief; recommendations; AI-use log</x:t>
  </x:si>
  <x:si>
    <x:t xml:space="preserve">Dataset in this file</x:t>
  </x:si>
  <x:si>
    <x:t xml:space="preserve">400 competitor price observations
- 'Price Tracker' sheet: 400 rows x 10 columns</x:t>
  </x:si>
  <x:si>
    <x:t xml:space="preserve">About the data</x:t>
  </x:si>
  <x:si>
    <x:t xml:space="preserve">All data is synthetic and created for teaching; companies, people and figures are fictional. Treat it as if it were real business data. If a 'Gold Labels (evaluation)' sheet is present, do NOT give it to the AI tool - use it only at the end to measure your accuracy.</x:t>
  </x:si>
  <x:si>
    <x:t xml:space="preserve">Team size</x:t>
  </x:si>
  <x:si>
    <x:t xml:space="preserve">Individual (or pairs if your faculty allows)</x:t>
  </x:si>
  <x:si>
    <x:t xml:space="preserve">Responsible AI rules</x:t>
  </x:si>
  <x:si>
    <x:t xml:space="preserve">Use only free tools; never paste real personal or confidential data into public AI tools; verify every number the AI gives you; disclose AI-generated content.</x:t>
  </x:si>
  <x:si>
    <x:t xml:space="preserve">Submission</x:t>
  </x:si>
  <x:si>
    <x:t xml:space="preserve">1) Build link / file / screen recording  2) This workbook with your outputs added as new sheets  3) Completed 'AI Use Log' sheet (minimum 15 entries)  4) 3-5 page report with recommendation and reflection</x:t>
  </x:si>
  <x:si>
    <x:t xml:space="preserve">Evaluation rubric (30 marks)</x:t>
  </x:si>
  <x:si>
    <x:t xml:space="preserve">Criterion</x:t>
  </x:si>
  <x:si>
    <x:t xml:space="preserve">What is assessed</x:t>
  </x:si>
  <x:si>
    <x:t xml:space="preserve">Marks</x:t>
  </x:si>
  <x:si>
    <x:t xml:space="preserve">Excellent</x:t>
  </x:si>
  <x:si>
    <x:t xml:space="preserve">Good</x:t>
  </x:si>
  <x:si>
    <x:t xml:space="preserve">Fair</x:t>
  </x:si>
  <x:si>
    <x:t xml:space="preserve">Poor</x:t>
  </x:si>
  <x:si>
    <x:t xml:space="preserve">1. Working build</x:t>
  </x:si>
  <x:si>
    <x:t xml:space="preserve">Tool / bot / app / automation works end to end on the provided data; link, file or screen recording submitted</x:t>
  </x:si>
  <x:si>
    <x:t xml:space="preserve">Runs fully (7-8)</x:t>
  </x:si>
  <x:si>
    <x:t xml:space="preserve">Minor gaps (5-6)</x:t>
  </x:si>
  <x:si>
    <x:t xml:space="preserve">Partly working (3-4)</x:t>
  </x:si>
  <x:si>
    <x:t xml:space="preserve">Not working (0-2)</x:t>
  </x:si>
  <x:si>
    <x:t xml:space="preserve">2. Correctness and verification</x:t>
  </x:si>
  <x:si>
    <x:t xml:space="preserve">Outputs checked against the data or gold labels; accuracy measured; errors found and fixed</x:t>
  </x:si>
  <x:si>
    <x:t xml:space="preserve">Systematic checks with numbers (6-7)</x:t>
  </x:si>
  <x:si>
    <x:t xml:space="preserve">Some checks (4-5)</x:t>
  </x:si>
  <x:si>
    <x:t xml:space="preserve">Few checks (2-3)</x:t>
  </x:si>
  <x:si>
    <x:t xml:space="preserve">None (0-1)</x:t>
  </x:si>
  <x:si>
    <x:t xml:space="preserve">3. Prompting and iteration</x:t>
  </x:si>
  <x:si>
    <x:t xml:space="preserve">Clear, structured prompts; at least 3 documented improvement rounds with reasons</x:t>
  </x:si>
  <x:si>
    <x:t xml:space="preserve">Strong iteration (5)</x:t>
  </x:si>
  <x:si>
    <x:t xml:space="preserve">Some iteration (3-4)</x:t>
  </x:si>
  <x:si>
    <x:t xml:space="preserve">Mostly one-shot (2)</x:t>
  </x:si>
  <x:si>
    <x:t xml:space="preserve">No log (0-1)</x:t>
  </x:si>
  <x:si>
    <x:t xml:space="preserve">4. Business insight and recommendation</x:t>
  </x:si>
  <x:si>
    <x:t xml:space="preserve">Specific, data-backed recommendation for the stated manager or customer</x:t>
  </x:si>
  <x:si>
    <x:t xml:space="preserve">Actionable and quantified (6)</x:t>
  </x:si>
  <x:si>
    <x:t xml:space="preserve">Sound but generic (4-5)</x:t>
  </x:si>
  <x:si>
    <x:t xml:space="preserve">Descriptive only (2-3)</x:t>
  </x:si>
  <x:si>
    <x:t xml:space="preserve">Missing (0-1)</x:t>
  </x:si>
  <x:si>
    <x:t xml:space="preserve">5. Documentation and reflection</x:t>
  </x:si>
  <x:si>
    <x:t xml:space="preserve">Complete AI-use log, limitations, responsible-AI notes and personal reflection</x:t>
  </x:si>
  <x:si>
    <x:t xml:space="preserve">Complete and honest (4)</x:t>
  </x:si>
  <x:si>
    <x:t xml:space="preserve">Mostly complete (3)</x:t>
  </x:si>
  <x:si>
    <x:t xml:space="preserve">Thin (2)</x:t>
  </x:si>
  <x:si>
    <x:t xml:space="preserve">Total</x:t>
  </x:si>
  <x:si>
    <x:t xml:space="preserve">week_start</x:t>
  </x:si>
  <x:si>
    <x:t xml:space="preserve">category</x:t>
  </x:si>
  <x:si>
    <x:t xml:space="preserve">product</x:t>
  </x:si>
  <x:si>
    <x:t xml:space="preserve">seller</x:t>
  </x:si>
  <x:si>
    <x:t xml:space="preserve">platform</x:t>
  </x:si>
  <x:si>
    <x:t xml:space="preserve">selling_price_inr</x:t>
  </x:si>
  <x:si>
    <x:t xml:space="preserve">mrp_inr</x:t>
  </x:si>
  <x:si>
    <x:t xml:space="preserve">availability</x:t>
  </x:si>
  <x:si>
    <x:t xml:space="preserve">avg_rating</x:t>
  </x:si>
  <x:si>
    <x:t xml:space="preserve">rating_count</x:t>
  </x:si>
  <x:si>
    <x:t xml:space="preserve">Home &amp; Kitchen</x:t>
  </x:si>
  <x:si>
    <x:t xml:space="preserve">Mixer Grinder</x:t>
  </x:si>
  <x:si>
    <x:t xml:space="preserve">Our Brand</x:t>
  </x:si>
  <x:si>
    <x:t xml:space="preserve">Marketplace</x:t>
  </x:si>
  <x:si>
    <x:t xml:space="preserve">Out of stock</x:t>
  </x:si>
  <x:si>
    <x:t xml:space="preserve">Competitor A</x:t>
  </x:si>
  <x:si>
    <x:t xml:space="preserve">Own website</x:t>
  </x:si>
  <x:si>
    <x:t xml:space="preserve">Low stock</x:t>
  </x:si>
  <x:si>
    <x:t xml:space="preserve">Competitor B</x:t>
  </x:si>
  <x:si>
    <x:t xml:space="preserve">Competitor C</x:t>
  </x:si>
  <x:si>
    <x:t xml:space="preserve">Quick-commerce app</x:t>
  </x:si>
  <x:si>
    <x:t xml:space="preserve">In stock</x:t>
  </x:si>
  <x:si>
    <x:t xml:space="preserve">Steel Water Bottle</x:t>
  </x:si>
  <x:si>
    <x:t xml:space="preserve">Grocery</x:t>
  </x:si>
  <x:si>
    <x:t xml:space="preserve">Cold-pressed Oil 1L</x:t>
  </x:si>
  <x:si>
    <x:t xml:space="preserve">Green Tea 100 bags</x:t>
  </x:si>
  <x:si>
    <x:t xml:space="preserve">Beauty</x:t>
  </x:si>
  <x:si>
    <x:t xml:space="preserve">Beard Trimmer</x:t>
  </x:si>
  <x:si>
    <x:t xml:space="preserve">Non-stick Cookware Set</x:t>
  </x:si>
  <x:si>
    <x:t xml:space="preserve">Sunscreen SPF 50</x:t>
  </x:si>
  <x:si>
    <x:t xml:space="preserve">Fashion</x:t>
  </x:si>
  <x:si>
    <x:t xml:space="preserve">Formal Shirt</x:t>
  </x:si>
  <x:si>
    <x:t xml:space="preserve">Cotton Kurta</x:t>
  </x:si>
  <x:si>
    <x:t xml:space="preserve">Air Fryer</x:t>
  </x:si>
  <x:si>
    <x:t xml:space="preserve">Saree</x:t>
  </x:si>
  <x:si>
    <x:t xml:space="preserve">Electronics</x:t>
  </x:si>
  <x:si>
    <x:t xml:space="preserve">Power Bank 20000mAh</x:t>
  </x:si>
  <x:si>
    <x:t xml:space="preserve">Face Serum</x:t>
  </x:si>
  <x:si>
    <x:t xml:space="preserve">Pressure Cooker 5L</x:t>
  </x:si>
  <x:si>
    <x:t xml:space="preserve">Smartwatch</x:t>
  </x:si>
  <x:si>
    <x:t xml:space="preserve">Lipstick</x:t>
  </x:si>
  <x:si>
    <x:t xml:space="preserve">Dry Fruits Mix 500g</x:t>
  </x:si>
  <x:si>
    <x:t xml:space="preserve">Basmati Rice 5kg</x:t>
  </x:si>
  <x:si>
    <x:t xml:space="preserve">Denim Jeans</x:t>
  </x:si>
  <x:si>
    <x:t xml:space="preserve">Organic Jaggery 1kg</x:t>
  </x:si>
  <x:si>
    <x:t xml:space="preserve">Bluetooth Speaker</x:t>
  </x:si>
  <x:si>
    <x:t xml:space="preserve">Wireless Earbuds</x:t>
  </x:si>
  <x:si>
    <x:t xml:space="preserve">Running Shoes</x:t>
  </x:si>
  <x:si>
    <x:t xml:space="preserve">Hair Oil</x:t>
  </x:si>
  <x:si>
    <x:t xml:space="preserve">USB-C Charger 65W</x:t>
  </x:si>
  <x:si>
    <x:t xml:space="preserve">sheet</x:t>
  </x:si>
  <x:si>
    <x:t xml:space="preserve">column</x:t>
  </x:si>
  <x:si>
    <x:t xml:space="preserve">data_type</x:t>
  </x:si>
  <x:si>
    <x:t xml:space="preserve">example_value</x:t>
  </x:si>
  <x:si>
    <x:t xml:space="preserve">non_empty_values</x:t>
  </x:si>
  <x:si>
    <x:t xml:space="preserve">distinct_values</x:t>
  </x:si>
  <x:si>
    <x:t xml:space="preserve">Price Tracker</x:t>
  </x:si>
  <x:si>
    <x:t xml:space="preserve">Date/time</x:t>
  </x:si>
  <x:si>
    <x:t xml:space="preserve">2026-02-02</x:t>
  </x:si>
  <x:si>
    <x:t xml:space="preserve">Text</x:t>
  </x:si>
  <x:si>
    <x:t xml:space="preserve">Whole number</x:t>
  </x:si>
  <x:si>
    <x:t xml:space="preserve">4550</x:t>
  </x:si>
  <x:si>
    <x:t xml:space="preserve">6373</x:t>
  </x:si>
  <x:si>
    <x:t xml:space="preserve">Decimal number</x:t>
  </x:si>
  <x:si>
    <x:t xml:space="preserve">4.4</x:t>
  </x:si>
  <x:si>
    <x:t xml:space="preserve">9234</x:t>
  </x:si>
  <x:si>
    <x:t xml:space="preserve">AI Use Log - fill one row per prompt (minimum 15). Yellow cells are for you to fill; row 4 is an example.</x:t>
  </x:si>
  <x:si>
    <x:t xml:space="preserve">Evidence = shared chat link or screenshot file name. Keep rejected outputs too - they earn marks under 'Prompting and iteration'.</x:t>
  </x:si>
  <x:si>
    <x:t xml:space="preserve">#</x:t>
  </x:si>
  <x:si>
    <x:t xml:space="preserve">date</x:t>
  </x:si>
  <x:si>
    <x:t xml:space="preserve">tool</x:t>
  </x:si>
  <x:si>
    <x:t xml:space="preserve">model / mode</x:t>
  </x:si>
  <x:si>
    <x:t xml:space="preserve">settings used (if any)</x:t>
  </x:si>
  <x:si>
    <x:t xml:space="preserve">prompt (exact text)</x:t>
  </x:si>
  <x:si>
    <x:t xml:space="preserve">what the output did well / badly</x:t>
  </x:si>
  <x:si>
    <x:t xml:space="preserve">what I changed next and why</x:t>
  </x:si>
  <x:si>
    <x:t xml:space="preserve">kept or rejected</x:t>
  </x:si>
  <x:si>
    <x:t xml:space="preserve">evidence link / file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</x:si>
</x:sst>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yyyy\-mm\-dd"/>
    <x:numFmt numFmtId="166" formatCode="#,##0"/>
    <x:numFmt numFmtId="200" formatCode="0.00"/>
    <x:numFmt numFmtId="201" formatCode="yyyy-mm-dd"/>
    <x:numFmt numFmtId="202" formatCode="₹#,##0.00"/>
    <x:numFmt numFmtId="203" formatCode="0.0"/>
  </x:numFmts>
  <x:fonts count="16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4E5A"/>
      <x:name val="Arial"/>
    </x:font>
    <x:font>
      <x:i/>
      <x:sz val="10"/>
      <x:color rgb="FF555555"/>
      <x:name val="Arial"/>
    </x:font>
    <x:font>
      <x:b/>
      <x:sz val="10"/>
      <x:name val="Arial"/>
    </x:font>
    <x:font>
      <x:b/>
      <x:sz val="12"/>
      <x:color rgb="FF1F4E5A"/>
      <x:name val="Arial"/>
    </x:font>
    <x:font>
      <x:b/>
      <x:sz val="10"/>
      <x:color rgb="FFFFFFFF"/>
      <x:name val="Arial"/>
    </x:font>
    <x:font>
      <x:sz val="11"/>
      <x:color theme="1"/>
      <x:name val="Calibri"/>
    </x:font>
    <x:font>
      <x:i/>
      <x:sz val="9"/>
      <x:color rgb="FF555555"/>
      <x:name val="Arial"/>
    </x:font>
    <x:font>
      <x:i/>
      <x:sz val="10"/>
      <x:color rgb="FF666666"/>
      <x:name val="Arial"/>
    </x:font>
    <x:font>
      <x:b/>
      <x:sz val="16"/>
      <x:color rgb="FFFFFFFF"/>
      <x:name val="Arial"/>
    </x:font>
    <x:font>
      <x:b/>
      <x:sz val="10"/>
      <x:color rgb="FF17365D"/>
      <x:name val="Arial"/>
    </x:font>
    <x:font>
      <x:sz val="10"/>
      <x:color rgb="FF7F6000"/>
      <x:name val="Arial"/>
    </x:font>
    <x:font>
      <x:sz val="10"/>
      <x:color rgb="FF37562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E8F1F2"/>
      </x:patternFill>
    </x:fill>
    <x:fill>
      <x:patternFill patternType="solid">
        <x:fgColor rgb="FF1F4E5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 diagonalUp="0" diagonalDown="0"/>
    <x:border diagonalUp="0" diagonalDown="0">
      <x:left style="thin">
        <x:color rgb="FFC9D3D6"/>
      </x:left>
      <x:right style="thin">
        <x:color rgb="FFC9D3D6"/>
      </x:right>
      <x:top style="thin">
        <x:color rgb="FFC9D3D6"/>
      </x:top>
      <x:bottom style="thin">
        <x:color rgb="FFC9D3D6"/>
      </x:bottom>
    </x:border>
    <x:border diagonalUp="0" diagonalDown="0"/>
    <x:border diagonalUp="0" diagonalDown="0">
      <x:left style="thin">
        <x:color rgb="FFC9D3D6"/>
      </x:left>
      <x:right style="thin">
        <x:color rgb="FFC9D3D6"/>
      </x:right>
      <x:top style="thin">
        <x:color rgb="FFC9D3D6"/>
      </x:top>
      <x:bottom style="thin">
        <x:color rgb="FFC9D3D6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9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2" borderId="1" xfId="0" applyFont="1" applyBorder="1" applyAlignment="1">
      <x:alignment horizontal="general" vertical="top" wrapText="1"/>
    </x:xf>
    <x:xf numFmtId="164" fontId="0" fillId="0" borderId="1" xfId="0" applyFont="1" applyBorder="1" applyAlignment="1">
      <x:alignment horizontal="general" vertical="top" wrapText="1"/>
    </x:xf>
    <x:xf numFmtId="164" fontId="7" fillId="0" borderId="0" xfId="0" applyFont="1" applyBorder="0" applyAlignment="0">
      <x:alignment horizontal="general" vertical="bottom" wrapText="0"/>
    </x:xf>
    <x:xf numFmtId="164" fontId="8" fillId="3" borderId="1" xfId="0" applyFont="1" applyBorder="1" applyAlignment="1">
      <x:alignment horizontal="general" vertical="center" wrapText="1"/>
    </x:xf>
    <x:xf numFmtId="164" fontId="9" fillId="0" borderId="1" xfId="0" applyFont="1" applyBorder="1" applyAlignment="1">
      <x:alignment horizontal="general" vertical="top" wrapText="1"/>
    </x:xf>
    <x:xf numFmtId="164" fontId="6" fillId="0" borderId="0" xfId="0" applyFont="1" applyBorder="0" applyAlignment="0">
      <x:alignment horizontal="general" vertical="bottom" wrapText="0"/>
    </x:xf>
    <x:xf numFmtId="165" fontId="9" fillId="0" borderId="0" xfId="0" applyFont="1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6" fontId="9" fillId="0" borderId="0" xfId="0" applyFont="1" applyBorder="0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4" fontId="11" fillId="0" borderId="1" xfId="0" applyFont="1" applyBorder="1" applyAlignment="1">
      <x:alignment horizontal="general" vertical="top" wrapText="1"/>
    </x:xf>
    <x:xf numFmtId="165" fontId="11" fillId="0" borderId="1" xfId="0" applyFont="1" applyBorder="1" applyAlignment="1">
      <x:alignment horizontal="general" vertical="top" wrapText="1"/>
    </x:xf>
    <x:xf numFmtId="165" fontId="9" fillId="4" borderId="1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2" borderId="3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8" fillId="3" borderId="3" xfId="0" applyNumberFormat="1" applyFont="1" applyFill="1" applyBorder="1" applyAlignment="1">
      <x:alignment horizontal="general" vertical="center" wrapText="1"/>
    </x:xf>
    <x:xf numFmtId="164" fontId="9" fillId="0" borderId="3" xfId="0" applyNumberFormat="1" applyFont="1" applyFill="1" applyBorder="1" applyAlignment="1">
      <x:alignment horizontal="general" vertical="top" wrapText="1"/>
    </x:xf>
    <x:xf numFmtId="164" fontId="6" fillId="0" borderId="2" xfId="0" applyNumberFormat="1" applyFont="1" applyFill="1" applyBorder="1" applyAlignment="1">
      <x:alignment horizontal="general" vertical="bottom" wrapText="0"/>
    </x:xf>
    <x:xf numFmtId="165" fontId="9" fillId="0" borderId="2" xfId="0" applyNumberFormat="1" applyFont="1" applyFill="1" applyBorder="1" applyAlignment="1">
      <x:alignment horizontal="general" vertical="bottom" wrapText="0"/>
    </x:xf>
    <x:xf numFmtId="166" fontId="9" fillId="0" borderId="2" xfId="0" applyNumberFormat="1" applyFont="1" applyFill="1" applyBorder="1" applyAlignment="1">
      <x:alignment horizontal="general" vertical="bottom" wrapText="0"/>
    </x:xf>
    <x:xf numFmtId="164" fontId="10" fillId="0" borderId="2" xfId="0" applyNumberFormat="1" applyFont="1" applyFill="1" applyBorder="1" applyAlignment="1">
      <x:alignment horizontal="general" vertical="bottom" wrapText="0"/>
    </x:xf>
    <x:xf numFmtId="164" fontId="11" fillId="0" borderId="3" xfId="0" applyNumberFormat="1" applyFont="1" applyFill="1" applyBorder="1" applyAlignment="1">
      <x:alignment horizontal="general" vertical="top" wrapText="1"/>
    </x:xf>
    <x:xf numFmtId="165" fontId="11" fillId="0" borderId="3" xfId="0" applyNumberFormat="1" applyFont="1" applyFill="1" applyBorder="1" applyAlignment="1">
      <x:alignment horizontal="general" vertical="top" wrapText="1"/>
    </x:xf>
    <x:xf numFmtId="165" fontId="9" fillId="4" borderId="3" xfId="0" applyNumberFormat="1" applyFont="1" applyFill="1" applyBorder="1" applyAlignment="1">
      <x:alignment horizontal="general" vertical="top" wrapText="1"/>
    </x:xf>
    <x:xf numFmtId="164" fontId="9" fillId="4" borderId="3" xfId="0" applyNumberFormat="1" applyFont="1" applyFill="1" applyBorder="1" applyAlignment="1">
      <x:alignment horizontal="general" vertical="top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left" vertical="bottom" wrapText="0"/>
    </x:xf>
    <x:xf numFmtId="164" fontId="12" fillId="5" borderId="0" xfId="0" applyNumberFormat="1" applyFont="1" applyFill="1" applyBorder="1" applyAlignment="1">
      <x:alignment horizontal="left" vertical="center" wrapText="0"/>
    </x:xf>
    <x:xf numFmtId="164" fontId="0" fillId="5" borderId="2" xfId="0" applyNumberFormat="1" applyFont="1" applyFill="1" applyBorder="1" applyAlignment="1">
      <x:alignment horizontal="general" vertical="bottom" wrapText="0"/>
    </x:xf>
    <x:xf numFmtId="164" fontId="12" fillId="5" borderId="2" xfId="0" applyNumberFormat="1" applyFont="1" applyFill="1" applyBorder="1" applyAlignment="1">
      <x:alignment horizontal="general" vertical="bottom" wrapText="0"/>
    </x:xf>
    <x:xf numFmtId="164" fontId="12" fillId="5" borderId="2" xfId="0" applyNumberFormat="1" applyFont="1" applyFill="1" applyBorder="1" applyAlignment="1">
      <x:alignment horizontal="left" vertical="bottom" wrapText="0"/>
    </x:xf>
    <x:xf numFmtId="164" fontId="12" fillId="5" borderId="2" xfId="0" applyNumberFormat="1" applyFont="1" applyFill="1" applyBorder="1" applyAlignment="1">
      <x:alignment horizontal="left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8" fillId="6" borderId="0" xfId="0" applyNumberFormat="1" applyFont="1" applyFill="1" applyBorder="1" applyAlignment="1">
      <x:alignment horizontal="general" vertical="bottom" wrapText="0"/>
    </x:xf>
    <x:xf numFmtId="164" fontId="8" fillId="6" borderId="0" xfId="0" applyNumberFormat="1" applyFont="1" applyFill="1" applyBorder="1" applyAlignment="1">
      <x:alignment horizontal="general" vertical="bottom" wrapText="1"/>
    </x:xf>
    <x:xf numFmtId="164" fontId="8" fillId="6" borderId="0" xfId="0" applyNumberFormat="1" applyFont="1" applyFill="1" applyBorder="1" applyAlignment="1">
      <x:alignment horizontal="center" vertical="bottom" wrapText="1"/>
    </x:xf>
    <x:xf numFmtId="164" fontId="8" fillId="6" borderId="0" xfId="0" applyNumberFormat="1" applyFont="1" applyFill="1" applyBorder="1" applyAlignment="1">
      <x:alignment horizontal="center" vertical="center" wrapText="1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8" fillId="6" borderId="2" xfId="0" applyNumberFormat="1" applyFont="1" applyFill="1" applyBorder="1" applyAlignment="1">
      <x:alignment horizontal="general" vertical="bottom" wrapText="0"/>
    </x:xf>
    <x:xf numFmtId="164" fontId="8" fillId="6" borderId="2" xfId="0" applyNumberFormat="1" applyFont="1" applyFill="1" applyBorder="1" applyAlignment="1">
      <x:alignment horizontal="general" vertical="bottom" wrapText="1"/>
    </x:xf>
    <x:xf numFmtId="164" fontId="8" fillId="6" borderId="2" xfId="0" applyNumberFormat="1" applyFont="1" applyFill="1" applyBorder="1" applyAlignment="1">
      <x:alignment horizontal="center" vertical="bottom" wrapText="1"/>
    </x:xf>
    <x:xf numFmtId="164" fontId="8" fillId="6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2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3" fillId="7" borderId="0" xfId="0" applyNumberFormat="1" applyFont="1" applyFill="1" applyBorder="1" applyAlignment="1">
      <x:alignment horizontal="general" vertical="bottom" wrapText="0"/>
    </x:xf>
    <x:xf numFmtId="164" fontId="13" fillId="7" borderId="0" xfId="0" applyNumberFormat="1" applyFont="1" applyFill="1" applyBorder="1" applyAlignment="1">
      <x:alignment horizontal="general" vertical="center" wrapText="0"/>
    </x:xf>
    <x:xf numFmtId="164" fontId="0" fillId="7" borderId="2" xfId="0" applyNumberFormat="1" applyFont="1" applyFill="1" applyBorder="1" applyAlignment="1">
      <x:alignment horizontal="general" vertical="bottom" wrapText="0"/>
    </x:xf>
    <x:xf numFmtId="164" fontId="13" fillId="7" borderId="2" xfId="0" applyNumberFormat="1" applyFont="1" applyFill="1" applyBorder="1" applyAlignment="1">
      <x:alignment horizontal="general" vertical="bottom" wrapText="0"/>
    </x:xf>
    <x:xf numFmtId="164" fontId="13" fillId="7" borderId="2" xfId="0" applyNumberFormat="1" applyFont="1" applyFill="1" applyBorder="1" applyAlignment="1">
      <x:alignment horizontal="general" vertical="center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4" fillId="8" borderId="0" xfId="0" applyNumberFormat="1" applyFont="1" applyFill="1" applyBorder="1" applyAlignment="1">
      <x:alignment horizontal="general" vertical="bottom" wrapText="0"/>
    </x:xf>
    <x:xf numFmtId="164" fontId="14" fillId="8" borderId="0" xfId="0" applyNumberFormat="1" applyFont="1" applyFill="1" applyBorder="1" applyAlignment="1">
      <x:alignment horizontal="general" vertical="bottom" wrapText="1"/>
    </x:xf>
    <x:xf numFmtId="164" fontId="0" fillId="8" borderId="2" xfId="0" applyNumberFormat="1" applyFont="1" applyFill="1" applyBorder="1" applyAlignment="1">
      <x:alignment horizontal="general" vertical="bottom" wrapText="0"/>
    </x:xf>
    <x:xf numFmtId="164" fontId="14" fillId="8" borderId="2" xfId="0" applyNumberFormat="1" applyFont="1" applyFill="1" applyBorder="1" applyAlignment="1">
      <x:alignment horizontal="general" vertical="bottom" wrapText="0"/>
    </x:xf>
    <x:xf numFmtId="164" fontId="14" fillId="8" borderId="2" xfId="0" applyNumberFormat="1" applyFont="1" applyFill="1" applyBorder="1" applyAlignment="1">
      <x:alignment horizontal="general" vertical="bottom" wrapText="1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0" fillId="0" borderId="2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0"/>
    </x:xf>
    <x:xf numFmtId="202" fontId="0" fillId="0" borderId="2" xfId="0" applyNumberFormat="1" applyFont="1" applyFill="1" applyBorder="1" applyAlignment="1">
      <x:alignment horizontal="general" vertical="bottom" wrapText="0"/>
    </x:xf>
    <x:xf numFmtId="164" fontId="0" fillId="9" borderId="0" xfId="0" applyNumberFormat="1" applyFont="1" applyFill="1" applyBorder="1" applyAlignment="1">
      <x:alignment horizontal="general" vertical="bottom" wrapText="1"/>
    </x:xf>
    <x:xf numFmtId="164" fontId="15" fillId="9" borderId="0" xfId="0" applyNumberFormat="1" applyFont="1" applyFill="1" applyBorder="1" applyAlignment="1">
      <x:alignment horizontal="general" vertical="bottom" wrapText="1"/>
    </x:xf>
    <x:xf numFmtId="164" fontId="0" fillId="9" borderId="2" xfId="0" applyNumberFormat="1" applyFont="1" applyFill="1" applyBorder="1" applyAlignment="1">
      <x:alignment horizontal="general" vertical="bottom" wrapText="1"/>
    </x:xf>
    <x:xf numFmtId="164" fontId="15" fillId="9" borderId="2" xfId="0" applyNumberFormat="1" applyFont="1" applyFill="1" applyBorder="1" applyAlignment="1">
      <x:alignment horizontal="general" vertical="bottom" wrapText="1"/>
    </x:xf>
    <x:xf numFmtId="201" fontId="11" fillId="0" borderId="1" xfId="0" applyNumberFormat="1" applyFont="1" applyFill="1" applyBorder="1" applyAlignment="1">
      <x:alignment horizontal="general" vertical="top" wrapText="1"/>
    </x:xf>
    <x:xf numFmtId="201" fontId="9" fillId="4" borderId="1" xfId="0" applyNumberFormat="1" applyFont="1" applyFill="1" applyBorder="1" applyAlignment="1">
      <x:alignment horizontal="general" vertical="top" wrapText="1"/>
    </x:xf>
    <x:xf numFmtId="201" fontId="11" fillId="0" borderId="3" xfId="0" applyNumberFormat="1" applyFont="1" applyFill="1" applyBorder="1" applyAlignment="1">
      <x:alignment horizontal="general" vertical="top" wrapText="1"/>
    </x:xf>
    <x:xf numFmtId="201" fontId="9" fillId="4" borderId="3" xfId="0" applyNumberFormat="1" applyFont="1" applyFill="1" applyBorder="1" applyAlignment="1">
      <x:alignment horizontal="general" vertical="top" wrapText="1"/>
    </x:xf>
    <x:xf numFmtId="164" fontId="11" fillId="0" borderId="1" xfId="0" applyNumberFormat="1" applyFont="1" applyFill="1" applyBorder="1" applyAlignment="1">
      <x:alignment horizontal="general" vertical="top" wrapText="1"/>
    </x:xf>
    <x:xf numFmtId="164" fontId="9" fillId="0" borderId="1" xfId="0" applyNumberFormat="1" applyFont="1" applyFill="1" applyBorder="1" applyAlignment="1">
      <x:alignment horizontal="general" vertical="top" wrapText="1"/>
    </x:xf>
    <x:xf numFmtId="164" fontId="9" fillId="4" borderId="1" xfId="0" applyNumberFormat="1" applyFont="1" applyFill="1" applyBorder="1" applyAlignment="1">
      <x:alignment horizontal="general" vertical="top" wrapText="1"/>
    </x:xf>
    <x:xf numFmtId="164" fontId="8" fillId="6" borderId="1" xfId="0" applyNumberFormat="1" applyFont="1" applyFill="1" applyBorder="1" applyAlignment="1">
      <x:alignment horizontal="general" vertical="center" wrapText="1"/>
    </x:xf>
    <x:xf numFmtId="164" fontId="8" fillId="6" borderId="1" xfId="0" applyNumberFormat="1" applyFont="1" applyFill="1" applyBorder="1" applyAlignment="1">
      <x:alignment horizontal="center" vertical="center" wrapText="1"/>
    </x:xf>
    <x:xf numFmtId="164" fontId="8" fillId="6" borderId="3" xfId="0" applyNumberFormat="1" applyFont="1" applyFill="1" applyBorder="1" applyAlignment="1">
      <x:alignment horizontal="general" vertical="center" wrapText="1"/>
    </x:xf>
    <x:xf numFmtId="164" fontId="8" fillId="6" borderId="3" xfId="0" applyNumberFormat="1" applyFont="1" applyFill="1" applyBorder="1" applyAlignment="1">
      <x:alignment horizontal="center" vertical="center" wrapText="1"/>
    </x:xf>
    <x:xf numFmtId="164" fontId="11" fillId="0" borderId="1" xfId="0" applyNumberFormat="1" applyFont="1" applyFill="1" applyBorder="1" applyAlignment="1">
      <x:alignment horizontal="center" vertical="top" wrapText="1"/>
    </x:xf>
    <x:xf numFmtId="164" fontId="9" fillId="0" borderId="1" xfId="0" applyNumberFormat="1" applyFont="1" applyFill="1" applyBorder="1" applyAlignment="1">
      <x:alignment horizontal="center" vertical="top" wrapText="1"/>
    </x:xf>
    <x:xf numFmtId="164" fontId="11" fillId="0" borderId="3" xfId="0" applyNumberFormat="1" applyFont="1" applyFill="1" applyBorder="1" applyAlignment="1">
      <x:alignment horizontal="center" vertical="top" wrapText="1"/>
    </x:xf>
    <x:xf numFmtId="164" fontId="9" fillId="0" borderId="3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horizontal="general" vertical="bottom" wrapText="1"/>
    </x:xf>
    <x:xf numFmtId="203" fontId="0" fillId="0" borderId="2" xfId="0" applyNumberFormat="1" applyFont="1" applyFill="1" applyBorder="1" applyAlignment="1">
      <x:alignment horizontal="general" vertical="bottom" wrapText="1"/>
    </x:xf>
    <x:xf numFmtId="203" fontId="0" fillId="0" borderId="0" xfId="0" applyNumberFormat="1" applyFont="1" applyFill="1" applyBorder="1" applyAlignment="1">
      <x:alignment horizontal="general" vertical="bottom" wrapText="0"/>
    </x:xf>
    <x:xf numFmtId="203" fontId="0" fillId="0" borderId="2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1F4E5A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8F1F2"/>
      <x:rgbColor rgb="FF660066"/>
      <x:rgbColor rgb="FFFF8080"/>
      <x:rgbColor rgb="FF0066CC"/>
      <x:rgbColor rgb="FFC9D3D6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555555"/>
      <x:rgbColor rgb="FF1F4E5A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07a12712c43d0" /><Relationship Type="http://schemas.openxmlformats.org/officeDocument/2006/relationships/theme" Target="/xl/theme/theme1.xml" Id="R4be3ded3e4d34cf9" /><Relationship Type="http://schemas.openxmlformats.org/officeDocument/2006/relationships/sharedStrings" Target="/xl/sharedStrings.xml" Id="R2899b5a3a0934bf3" /><Relationship Type="http://schemas.openxmlformats.org/officeDocument/2006/relationships/worksheet" Target="/xl/worksheets/sheet1.xml" Id="R7c0b7c49548042ef" /><Relationship Type="http://schemas.openxmlformats.org/officeDocument/2006/relationships/worksheet" Target="/xl/worksheets/sheet2.xml" Id="R974977d4ac564e80" /><Relationship Type="http://schemas.openxmlformats.org/officeDocument/2006/relationships/worksheet" Target="/xl/worksheets/sheet3.xml" Id="R1b40569e6ce544f0" /><Relationship Type="http://schemas.openxmlformats.org/officeDocument/2006/relationships/worksheet" Target="/xl/worksheets/sheet4.xml" Id="R92fcf6d75ce1427c" /><Relationship Type="http://schemas.openxmlformats.org/officeDocument/2006/relationships/worksheet" Target="/xl/worksheets/sheet5.xml" Id="R2c7e0e20aae64d34" /><Relationship Type="http://schemas.openxmlformats.org/officeDocument/2006/relationships/worksheet" Target="/xl/worksheets/sheet6.xml" Id="R8610c77a833a4953" /><Relationship Type="http://schemas.openxmlformats.org/officeDocument/2006/relationships/worksheet" Target="/xl/worksheets/sheet7.xml" Id="Rdab1ce15df354ba1" /><Relationship Type="http://schemas.openxmlformats.org/officeDocument/2006/relationships/worksheet" Target="/xl/worksheets/sheet8.xml" Id="Rd19b6288840c40eb" /><Relationship Type="http://schemas.openxmlformats.org/officeDocument/2006/relationships/worksheet" Target="/xl/worksheets/sheet9.xml" Id="Rdfbc91fd3cfd4c02" /><Relationship Type="http://schemas.openxmlformats.org/officeDocument/2006/relationships/worksheet" Target="/xl/worksheets/sheet10.xml" Id="Rb9ca296b948b4c48" /><Relationship Type="http://schemas.openxmlformats.org/officeDocument/2006/relationships/worksheet" Target="/xl/worksheets/sheet11.xml" Id="Rd2b706b936a1413a" /><Relationship Type="http://schemas.openxmlformats.org/officeDocument/2006/relationships/worksheet" Target="/xl/worksheets/sheet12.xml" Id="R6652fface4014944" /><Relationship Type="http://schemas.openxmlformats.org/officeDocument/2006/relationships/worksheet" Target="/xl/worksheets/sheet13.xml" Id="Rcde8171d8f084b9b" /><Relationship Type="http://schemas.openxmlformats.org/officeDocument/2006/relationships/worksheet" Target="/xl/worksheets/sheet14.xml" Id="R437fe62863e24134" /><Relationship Type="http://schemas.openxmlformats.org/officeDocument/2006/relationships/worksheet" Target="/xl/worksheets/sheet15.xml" Id="Ref575e7b93e44b39" /><Relationship Type="http://schemas.openxmlformats.org/officeDocument/2006/relationships/worksheet" Target="/xl/worksheets/sheet16.xml" Id="R45accc05a2fa41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d5eab97e074f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Price Gap by Category (%)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Avg gap %</c:v>
          </c:tx>
          <c:cat>
            <c:strRef>
              <c:f>'Executive Dashboard'!$J$16:$J$20</c:f>
              <c:strCache>
                <c:ptCount val="0"/>
              </c:strCache>
            </c:strRef>
          </c:cat>
          <c:val>
            <c:numRef>
              <c:f>'Executive Dashboard'!$K$16:$K$20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d5eab97e074f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b9f59015e9d42ae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95" hidden="0" customWidth="1"/>
    <x:col min="3" max="3" width="10" hidden="0" customWidth="1"/>
    <x:col min="4" max="4" width="22" hidden="0" customWidth="1"/>
    <x:col min="5" max="6" width="20" hidden="0" customWidth="1"/>
    <x:col min="7" max="7" width="16" hidden="0" customWidth="1"/>
  </x:cols>
  <x:sheetData>
    <x:row r="1" ht="17.350000381469727" hidden="0">
      <x:c r="A1" s="1" t="s">
        <x:v>0</x:v>
      </x:c>
    </x:row>
    <x:row r="2" ht="15" hidden="0">
      <x:c r="A2" s="2" t="s">
        <x:v>1</x:v>
      </x:c>
    </x:row>
    <x:row r="4" ht="18" hidden="0" customHeight="1">
      <x:c r="A4" s="3" t="s">
        <x:v>2</x:v>
      </x:c>
      <x:c r="B4" s="4" t="s">
        <x:v>3</x:v>
      </x:c>
    </x:row>
    <x:row r="5" ht="18" hidden="0" customHeight="1">
      <x:c r="A5" s="3" t="s">
        <x:v>4</x:v>
      </x:c>
      <x:c r="B5" s="4" t="s">
        <x:v>5</x:v>
      </x:c>
    </x:row>
    <x:row r="6" ht="18" hidden="0" customHeight="1">
      <x:c r="A6" s="3" t="s">
        <x:v>6</x:v>
      </x:c>
      <x:c r="B6" s="4" t="s">
        <x:v>7</x:v>
      </x:c>
    </x:row>
    <x:row r="7" ht="27.75" hidden="0" customHeight="1">
      <x:c r="A7" s="3" t="s">
        <x:v>8</x:v>
      </x:c>
      <x:c r="B7" s="4" t="s">
        <x:v>9</x:v>
      </x:c>
    </x:row>
    <x:row r="8" ht="55.5" hidden="0" customHeight="1">
      <x:c r="A8" s="3" t="s">
        <x:v>10</x:v>
      </x:c>
      <x:c r="B8" s="4" t="s">
        <x:v>11</x:v>
      </x:c>
    </x:row>
    <x:row r="9" ht="18" hidden="0" customHeight="1">
      <x:c r="A9" s="3" t="s">
        <x:v>12</x:v>
      </x:c>
      <x:c r="B9" s="4" t="s">
        <x:v>13</x:v>
      </x:c>
    </x:row>
    <x:row r="10" ht="27.75" hidden="0" customHeight="1">
      <x:c r="A10" s="3" t="s">
        <x:v>14</x:v>
      </x:c>
      <x:c r="B10" s="4" t="s">
        <x:v>15</x:v>
      </x:c>
    </x:row>
    <x:row r="11" ht="42" hidden="0" customHeight="1">
      <x:c r="A11" s="3" t="s">
        <x:v>16</x:v>
      </x:c>
      <x:c r="B11" s="4" t="s">
        <x:v>17</x:v>
      </x:c>
    </x:row>
    <x:row r="12" ht="18" hidden="0" customHeight="1">
      <x:c r="A12" s="3" t="s">
        <x:v>18</x:v>
      </x:c>
      <x:c r="B12" s="4" t="s">
        <x:v>19</x:v>
      </x:c>
    </x:row>
    <x:row r="13" ht="27.75" hidden="0" customHeight="1">
      <x:c r="A13" s="3" t="s">
        <x:v>20</x:v>
      </x:c>
      <x:c r="B13" s="4" t="s">
        <x:v>21</x:v>
      </x:c>
    </x:row>
    <x:row r="14" ht="42" hidden="0" customHeight="1">
      <x:c r="A14" s="3" t="s">
        <x:v>22</x:v>
      </x:c>
      <x:c r="B14" s="4" t="s">
        <x:v>23</x:v>
      </x:c>
    </x:row>
    <x:row r="16" ht="15" hidden="0">
      <x:c r="A16" s="5" t="s">
        <x:v>24</x:v>
      </x:c>
    </x:row>
    <x:row r="17" ht="15" hidden="0">
      <x:c r="A17" s="6" t="s">
        <x:v>25</x:v>
      </x:c>
      <x:c r="B17" s="6" t="s">
        <x:v>26</x:v>
      </x:c>
      <x:c r="C17" s="6" t="s">
        <x:v>27</x:v>
      </x:c>
      <x:c r="D17" s="6" t="s">
        <x:v>28</x:v>
      </x:c>
      <x:c r="E17" s="6" t="s">
        <x:v>29</x:v>
      </x:c>
      <x:c r="F17" s="6" t="s">
        <x:v>30</x:v>
      </x:c>
      <x:c r="G17" s="6" t="s">
        <x:v>31</x:v>
      </x:c>
    </x:row>
    <x:row r="18" ht="42" hidden="0" customHeight="1">
      <x:c r="A18" s="7" t="s">
        <x:v>32</x:v>
      </x:c>
      <x:c r="B18" s="7" t="s">
        <x:v>33</x:v>
      </x:c>
      <x:c r="C18" s="7" t="n">
        <x:v>8</x:v>
      </x:c>
      <x:c r="D18" s="7" t="s">
        <x:v>34</x:v>
      </x:c>
      <x:c r="E18" s="7" t="s">
        <x:v>35</x:v>
      </x:c>
      <x:c r="F18" s="7" t="s">
        <x:v>36</x:v>
      </x:c>
      <x:c r="G18" s="7" t="s">
        <x:v>37</x:v>
      </x:c>
    </x:row>
    <x:row r="19" ht="42" hidden="0" customHeight="1">
      <x:c r="A19" s="7" t="s">
        <x:v>38</x:v>
      </x:c>
      <x:c r="B19" s="7" t="s">
        <x:v>39</x:v>
      </x:c>
      <x:c r="C19" s="7" t="n">
        <x:v>7</x:v>
      </x:c>
      <x:c r="D19" s="7" t="s">
        <x:v>40</x:v>
      </x:c>
      <x:c r="E19" s="7" t="s">
        <x:v>41</x:v>
      </x:c>
      <x:c r="F19" s="7" t="s">
        <x:v>42</x:v>
      </x:c>
      <x:c r="G19" s="7" t="s">
        <x:v>43</x:v>
      </x:c>
    </x:row>
    <x:row r="20" ht="42" hidden="0" customHeight="1">
      <x:c r="A20" s="7" t="s">
        <x:v>44</x:v>
      </x:c>
      <x:c r="B20" s="7" t="s">
        <x:v>45</x:v>
      </x:c>
      <x:c r="C20" s="7" t="n">
        <x:v>5</x:v>
      </x:c>
      <x:c r="D20" s="7" t="s">
        <x:v>46</x:v>
      </x:c>
      <x:c r="E20" s="7" t="s">
        <x:v>47</x:v>
      </x:c>
      <x:c r="F20" s="7" t="s">
        <x:v>48</x:v>
      </x:c>
      <x:c r="G20" s="7" t="s">
        <x:v>49</x:v>
      </x:c>
    </x:row>
    <x:row r="21" ht="42" hidden="0" customHeight="1">
      <x:c r="A21" s="7" t="s">
        <x:v>50</x:v>
      </x:c>
      <x:c r="B21" s="7" t="s">
        <x:v>51</x:v>
      </x:c>
      <x:c r="C21" s="7" t="n">
        <x:v>6</x:v>
      </x:c>
      <x:c r="D21" s="7" t="s">
        <x:v>52</x:v>
      </x:c>
      <x:c r="E21" s="7" t="s">
        <x:v>53</x:v>
      </x:c>
      <x:c r="F21" s="7" t="s">
        <x:v>54</x:v>
      </x:c>
      <x:c r="G21" s="7" t="s">
        <x:v>55</x:v>
      </x:c>
    </x:row>
    <x:row r="22" ht="42" hidden="0" customHeight="1">
      <x:c r="A22" s="7" t="s">
        <x:v>56</x:v>
      </x:c>
      <x:c r="B22" s="7" t="s">
        <x:v>57</x:v>
      </x:c>
      <x:c r="C22" s="7" t="n">
        <x:v>4</x:v>
      </x:c>
      <x:c r="D22" s="7" t="s">
        <x:v>58</x:v>
      </x:c>
      <x:c r="E22" s="7" t="s">
        <x:v>59</x:v>
      </x:c>
      <x:c r="F22" s="7" t="s">
        <x:v>60</x:v>
      </x:c>
      <x:c r="G22" s="7" t="s">
        <x:v>55</x:v>
      </x:c>
    </x:row>
    <x:row r="23" ht="15" hidden="0">
      <x:c r="A23" s="8" t="s">
        <x:v>61</x:v>
      </x:c>
      <x:c r="C23" s="8" t="n">
        <x:f aca="0">SUM(C18:C22)</x:f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0" hidden="0" customWidth="1"/>
    <x:col min="3" max="3" width="17" hidden="0" customWidth="1"/>
    <x:col min="4" max="4" width="13" hidden="0" customWidth="1"/>
    <x:col min="5" max="5" width="14" hidden="0" customWidth="1"/>
    <x:col min="6" max="6" width="19" hidden="0" customWidth="1"/>
    <x:col min="7" max="7" width="10" hidden="0" customWidth="1"/>
    <x:col min="8" max="8" width="14" hidden="0" customWidth="1"/>
    <x:col min="9" max="9" width="12" hidden="0" customWidth="1"/>
    <x:col min="10" max="10" width="14" hidden="0" customWidth="1"/>
  </x:cols>
  <x:sheetData>
    <x:row r="1" ht="15" hidden="0">
      <x:c r="A1" s="6" t="s">
        <x:v>62</x:v>
      </x:c>
      <x:c r="B1" s="6" t="s">
        <x:v>63</x:v>
      </x:c>
      <x:c r="C1" s="6" t="s">
        <x:v>64</x:v>
      </x:c>
      <x:c r="D1" s="6" t="s">
        <x:v>65</x:v>
      </x:c>
      <x:c r="E1" s="6" t="s">
        <x:v>66</x:v>
      </x:c>
      <x:c r="F1" s="6" t="s">
        <x:v>67</x:v>
      </x:c>
      <x:c r="G1" s="6" t="s">
        <x:v>68</x:v>
      </x:c>
      <x:c r="H1" s="6" t="s">
        <x:v>69</x:v>
      </x:c>
      <x:c r="I1" s="6" t="s">
        <x:v>70</x:v>
      </x:c>
      <x:c r="J1" s="6" t="s">
        <x:v>71</x:v>
      </x:c>
    </x:row>
    <x:row r="2" ht="15" hidden="0">
      <x:c r="A2" s="9" t="n">
        <x:v>46055</x:v>
      </x:c>
      <x:c r="B2" s="10" t="s">
        <x:v>72</x:v>
      </x:c>
      <x:c r="C2" s="10" t="s">
        <x:v>73</x:v>
      </x:c>
      <x:c r="D2" s="10" t="s">
        <x:v>74</x:v>
      </x:c>
      <x:c r="E2" s="10" t="s">
        <x:v>75</x:v>
      </x:c>
      <x:c r="F2" s="11" t="n">
        <x:v>4550</x:v>
      </x:c>
      <x:c r="G2" s="11" t="n">
        <x:v>6373</x:v>
      </x:c>
      <x:c r="H2" s="10" t="s">
        <x:v>76</x:v>
      </x:c>
      <x:c r="I2" t="n">
        <x:v>4.4</x:v>
      </x:c>
      <x:c r="J2" t="n">
        <x:v>9234</x:v>
      </x:c>
    </x:row>
    <x:row r="3" ht="15" hidden="0">
      <x:c r="A3" s="9" t="n">
        <x:v>46055</x:v>
      </x:c>
      <x:c r="B3" s="10" t="s">
        <x:v>72</x:v>
      </x:c>
      <x:c r="C3" s="10" t="s">
        <x:v>73</x:v>
      </x:c>
      <x:c r="D3" s="10" t="s">
        <x:v>77</x:v>
      </x:c>
      <x:c r="E3" s="10" t="s">
        <x:v>78</x:v>
      </x:c>
      <x:c r="F3" s="11" t="n">
        <x:v>5532</x:v>
      </x:c>
      <x:c r="G3" s="11" t="n">
        <x:v>7444</x:v>
      </x:c>
      <x:c r="H3" s="10" t="s">
        <x:v>79</x:v>
      </x:c>
      <x:c r="I3" t="n">
        <x:v>4</x:v>
      </x:c>
      <x:c r="J3" t="n">
        <x:v>6728</x:v>
      </x:c>
    </x:row>
    <x:row r="4" ht="15" hidden="0">
      <x:c r="A4" s="9" t="n">
        <x:v>46055</x:v>
      </x:c>
      <x:c r="B4" s="10" t="s">
        <x:v>72</x:v>
      </x:c>
      <x:c r="C4" s="10" t="s">
        <x:v>73</x:v>
      </x:c>
      <x:c r="D4" s="10" t="s">
        <x:v>80</x:v>
      </x:c>
      <x:c r="E4" s="10" t="s">
        <x:v>75</x:v>
      </x:c>
      <x:c r="F4" s="11" t="n">
        <x:v>5255</x:v>
      </x:c>
      <x:c r="G4" s="11" t="n">
        <x:v>7020</x:v>
      </x:c>
      <x:c r="H4" s="10" t="s">
        <x:v>79</x:v>
      </x:c>
      <x:c r="I4" t="n">
        <x:v>4.2</x:v>
      </x:c>
      <x:c r="J4" t="n">
        <x:v>11940</x:v>
      </x:c>
    </x:row>
    <x:row r="5" ht="15" hidden="0">
      <x:c r="A5" s="9" t="n">
        <x:v>46055</x:v>
      </x:c>
      <x:c r="B5" s="10" t="s">
        <x:v>72</x:v>
      </x:c>
      <x:c r="C5" s="10" t="s">
        <x:v>73</x:v>
      </x:c>
      <x:c r="D5" s="10" t="s">
        <x:v>81</x:v>
      </x:c>
      <x:c r="E5" s="10" t="s">
        <x:v>82</x:v>
      </x:c>
      <x:c r="F5" s="11" t="n">
        <x:v>4507</x:v>
      </x:c>
      <x:c r="G5" s="11" t="n">
        <x:v>6047</x:v>
      </x:c>
      <x:c r="H5" s="10" t="s">
        <x:v>83</x:v>
      </x:c>
      <x:c r="I5" t="n">
        <x:v>3.7</x:v>
      </x:c>
      <x:c r="J5" t="n">
        <x:v>15182</x:v>
      </x:c>
    </x:row>
    <x:row r="6" ht="15" hidden="0">
      <x:c r="A6" s="9" t="n">
        <x:v>45971</x:v>
      </x:c>
      <x:c r="B6" s="10" t="s">
        <x:v>72</x:v>
      </x:c>
      <x:c r="C6" s="10" t="s">
        <x:v>84</x:v>
      </x:c>
      <x:c r="D6" s="10" t="s">
        <x:v>74</x:v>
      </x:c>
      <x:c r="E6" s="10" t="s">
        <x:v>82</x:v>
      </x:c>
      <x:c r="F6" s="11" t="n">
        <x:v>311</x:v>
      </x:c>
      <x:c r="G6" s="11" t="n">
        <x:v>410</x:v>
      </x:c>
      <x:c r="H6" s="10" t="s">
        <x:v>83</x:v>
      </x:c>
      <x:c r="I6" t="n">
        <x:v>4.3</x:v>
      </x:c>
      <x:c r="J6" t="n">
        <x:v>9296</x:v>
      </x:c>
    </x:row>
    <x:row r="7" ht="15" hidden="0">
      <x:c r="A7" s="9" t="n">
        <x:v>45971</x:v>
      </x:c>
      <x:c r="B7" s="10" t="s">
        <x:v>72</x:v>
      </x:c>
      <x:c r="C7" s="10" t="s">
        <x:v>84</x:v>
      </x:c>
      <x:c r="D7" s="10" t="s">
        <x:v>77</x:v>
      </x:c>
      <x:c r="E7" s="10" t="s">
        <x:v>75</x:v>
      </x:c>
      <x:c r="F7" s="11" t="n">
        <x:v>342</x:v>
      </x:c>
      <x:c r="G7" s="11" t="n">
        <x:v>397</x:v>
      </x:c>
      <x:c r="H7" s="10" t="s">
        <x:v>76</x:v>
      </x:c>
      <x:c r="I7" t="n">
        <x:v>4.4</x:v>
      </x:c>
      <x:c r="J7" t="n">
        <x:v>1012</x:v>
      </x:c>
    </x:row>
    <x:row r="8" ht="15" hidden="0">
      <x:c r="A8" s="9" t="n">
        <x:v>45971</x:v>
      </x:c>
      <x:c r="B8" s="10" t="s">
        <x:v>72</x:v>
      </x:c>
      <x:c r="C8" s="10" t="s">
        <x:v>84</x:v>
      </x:c>
      <x:c r="D8" s="10" t="s">
        <x:v>80</x:v>
      </x:c>
      <x:c r="E8" s="10" t="s">
        <x:v>78</x:v>
      </x:c>
      <x:c r="F8" s="11" t="n">
        <x:v>336</x:v>
      </x:c>
      <x:c r="G8" s="11" t="n">
        <x:v>375</x:v>
      </x:c>
      <x:c r="H8" s="10" t="s">
        <x:v>79</x:v>
      </x:c>
      <x:c r="I8" t="n">
        <x:v>3.6</x:v>
      </x:c>
      <x:c r="J8" t="n">
        <x:v>11404</x:v>
      </x:c>
    </x:row>
    <x:row r="9" ht="15" hidden="0">
      <x:c r="A9" s="9" t="n">
        <x:v>45971</x:v>
      </x:c>
      <x:c r="B9" s="10" t="s">
        <x:v>72</x:v>
      </x:c>
      <x:c r="C9" s="10" t="s">
        <x:v>84</x:v>
      </x:c>
      <x:c r="D9" s="10" t="s">
        <x:v>81</x:v>
      </x:c>
      <x:c r="E9" s="10" t="s">
        <x:v>75</x:v>
      </x:c>
      <x:c r="F9" s="11" t="n">
        <x:v>342</x:v>
      </x:c>
      <x:c r="G9" s="11" t="n">
        <x:v>402</x:v>
      </x:c>
      <x:c r="H9" s="10" t="s">
        <x:v>83</x:v>
      </x:c>
      <x:c r="I9" t="n">
        <x:v>4.2</x:v>
      </x:c>
      <x:c r="J9" t="n">
        <x:v>15183</x:v>
      </x:c>
    </x:row>
    <x:row r="10" ht="15" hidden="0">
      <x:c r="A10" s="9" t="n">
        <x:v>46069</x:v>
      </x:c>
      <x:c r="B10" s="10" t="s">
        <x:v>85</x:v>
      </x:c>
      <x:c r="C10" s="10" t="s">
        <x:v>86</x:v>
      </x:c>
      <x:c r="D10" s="10" t="s">
        <x:v>74</x:v>
      </x:c>
      <x:c r="E10" s="10" t="s">
        <x:v>82</x:v>
      </x:c>
      <x:c r="F10" s="11" t="n">
        <x:v>305</x:v>
      </x:c>
      <x:c r="G10" s="11" t="n">
        <x:v>455</x:v>
      </x:c>
      <x:c r="H10" s="10" t="s">
        <x:v>83</x:v>
      </x:c>
      <x:c r="I10" t="n">
        <x:v>4</x:v>
      </x:c>
      <x:c r="J10" t="n">
        <x:v>12540</x:v>
      </x:c>
    </x:row>
    <x:row r="11" ht="15" hidden="0">
      <x:c r="A11" s="9" t="n">
        <x:v>46069</x:v>
      </x:c>
      <x:c r="B11" s="10" t="s">
        <x:v>85</x:v>
      </x:c>
      <x:c r="C11" s="10" t="s">
        <x:v>86</x:v>
      </x:c>
      <x:c r="D11" s="10" t="s">
        <x:v>77</x:v>
      </x:c>
      <x:c r="E11" s="10" t="s">
        <x:v>82</x:v>
      </x:c>
      <x:c r="F11" s="11" t="n">
        <x:v>350</x:v>
      </x:c>
      <x:c r="G11" s="11" t="n">
        <x:v>449</x:v>
      </x:c>
      <x:c r="H11" s="10" t="s">
        <x:v>83</x:v>
      </x:c>
      <x:c r="I11" t="n">
        <x:v>4.5</x:v>
      </x:c>
      <x:c r="J11" t="n">
        <x:v>12463</x:v>
      </x:c>
    </x:row>
    <x:row r="12" ht="15" hidden="0">
      <x:c r="A12" s="9" t="n">
        <x:v>46069</x:v>
      </x:c>
      <x:c r="B12" s="10" t="s">
        <x:v>85</x:v>
      </x:c>
      <x:c r="C12" s="10" t="s">
        <x:v>86</x:v>
      </x:c>
      <x:c r="D12" s="10" t="s">
        <x:v>80</x:v>
      </x:c>
      <x:c r="E12" s="10" t="s">
        <x:v>78</x:v>
      </x:c>
      <x:c r="F12" s="11" t="n">
        <x:v>378</x:v>
      </x:c>
      <x:c r="G12" s="11" t="n">
        <x:v>537</x:v>
      </x:c>
      <x:c r="H12" s="10" t="s">
        <x:v>79</x:v>
      </x:c>
      <x:c r="I12" t="n">
        <x:v>4.5</x:v>
      </x:c>
      <x:c r="J12" t="n">
        <x:v>9027</x:v>
      </x:c>
    </x:row>
    <x:row r="13" ht="15" hidden="0">
      <x:c r="A13" s="9" t="n">
        <x:v>46069</x:v>
      </x:c>
      <x:c r="B13" s="10" t="s">
        <x:v>85</x:v>
      </x:c>
      <x:c r="C13" s="10" t="s">
        <x:v>86</x:v>
      </x:c>
      <x:c r="D13" s="10" t="s">
        <x:v>81</x:v>
      </x:c>
      <x:c r="E13" s="10" t="s">
        <x:v>82</x:v>
      </x:c>
      <x:c r="F13" s="11" t="n">
        <x:v>321</x:v>
      </x:c>
      <x:c r="G13" s="11" t="n">
        <x:v>471</x:v>
      </x:c>
      <x:c r="H13" s="10" t="s">
        <x:v>79</x:v>
      </x:c>
      <x:c r="I13" t="n">
        <x:v>4.6</x:v>
      </x:c>
      <x:c r="J13" t="n">
        <x:v>9988</x:v>
      </x:c>
    </x:row>
    <x:row r="14" ht="15" hidden="0">
      <x:c r="A14" s="9" t="n">
        <x:v>46034</x:v>
      </x:c>
      <x:c r="B14" s="10" t="s">
        <x:v>85</x:v>
      </x:c>
      <x:c r="C14" s="10" t="s">
        <x:v>87</x:v>
      </x:c>
      <x:c r="D14" s="10" t="s">
        <x:v>74</x:v>
      </x:c>
      <x:c r="E14" s="10" t="s">
        <x:v>82</x:v>
      </x:c>
      <x:c r="F14" s="11" t="n">
        <x:v>294</x:v>
      </x:c>
      <x:c r="G14" s="11" t="n">
        <x:v>437</x:v>
      </x:c>
      <x:c r="H14" s="10" t="s">
        <x:v>76</x:v>
      </x:c>
      <x:c r="I14" t="n">
        <x:v>3.6</x:v>
      </x:c>
      <x:c r="J14" t="n">
        <x:v>8229</x:v>
      </x:c>
    </x:row>
    <x:row r="15" ht="15" hidden="0">
      <x:c r="A15" s="9" t="n">
        <x:v>46034</x:v>
      </x:c>
      <x:c r="B15" s="10" t="s">
        <x:v>85</x:v>
      </x:c>
      <x:c r="C15" s="10" t="s">
        <x:v>87</x:v>
      </x:c>
      <x:c r="D15" s="10" t="s">
        <x:v>77</x:v>
      </x:c>
      <x:c r="E15" s="10" t="s">
        <x:v>82</x:v>
      </x:c>
      <x:c r="F15" s="11" t="n">
        <x:v>352</x:v>
      </x:c>
      <x:c r="G15" s="11" t="n">
        <x:v>516</x:v>
      </x:c>
      <x:c r="H15" s="10" t="s">
        <x:v>83</x:v>
      </x:c>
      <x:c r="I15" t="n">
        <x:v>3.9</x:v>
      </x:c>
      <x:c r="J15" t="n">
        <x:v>9315</x:v>
      </x:c>
    </x:row>
    <x:row r="16" ht="15" hidden="0">
      <x:c r="A16" s="9" t="n">
        <x:v>46034</x:v>
      </x:c>
      <x:c r="B16" s="10" t="s">
        <x:v>85</x:v>
      </x:c>
      <x:c r="C16" s="10" t="s">
        <x:v>87</x:v>
      </x:c>
      <x:c r="D16" s="10" t="s">
        <x:v>80</x:v>
      </x:c>
      <x:c r="E16" s="10" t="s">
        <x:v>75</x:v>
      </x:c>
      <x:c r="F16" s="11" t="n">
        <x:v>298</x:v>
      </x:c>
      <x:c r="G16" s="11" t="n">
        <x:v>401</x:v>
      </x:c>
      <x:c r="H16" s="10" t="s">
        <x:v>83</x:v>
      </x:c>
      <x:c r="I16" t="n">
        <x:v>4.1</x:v>
      </x:c>
      <x:c r="J16" t="n">
        <x:v>13663</x:v>
      </x:c>
    </x:row>
    <x:row r="17" ht="15" hidden="0">
      <x:c r="A17" s="9" t="n">
        <x:v>46034</x:v>
      </x:c>
      <x:c r="B17" s="10" t="s">
        <x:v>85</x:v>
      </x:c>
      <x:c r="C17" s="10" t="s">
        <x:v>87</x:v>
      </x:c>
      <x:c r="D17" s="10" t="s">
        <x:v>81</x:v>
      </x:c>
      <x:c r="E17" s="10" t="s">
        <x:v>75</x:v>
      </x:c>
      <x:c r="F17" s="11" t="n">
        <x:v>352</x:v>
      </x:c>
      <x:c r="G17" s="11" t="n">
        <x:v>425</x:v>
      </x:c>
      <x:c r="H17" s="10" t="s">
        <x:v>83</x:v>
      </x:c>
      <x:c r="I17" t="n">
        <x:v>3.9</x:v>
      </x:c>
      <x:c r="J17" t="n">
        <x:v>16318</x:v>
      </x:c>
    </x:row>
    <x:row r="18" ht="15" hidden="0">
      <x:c r="A18" s="9" t="n">
        <x:v>45985</x:v>
      </x:c>
      <x:c r="B18" s="10" t="s">
        <x:v>85</x:v>
      </x:c>
      <x:c r="C18" s="10" t="s">
        <x:v>87</x:v>
      </x:c>
      <x:c r="D18" s="10" t="s">
        <x:v>74</x:v>
      </x:c>
      <x:c r="E18" s="10" t="s">
        <x:v>78</x:v>
      </x:c>
      <x:c r="F18" s="11" t="n">
        <x:v>386</x:v>
      </x:c>
      <x:c r="G18" s="11" t="n">
        <x:v>550</x:v>
      </x:c>
      <x:c r="H18" s="10" t="s">
        <x:v>83</x:v>
      </x:c>
      <x:c r="I18" t="n">
        <x:v>4.4</x:v>
      </x:c>
      <x:c r="J18" t="n">
        <x:v>551</x:v>
      </x:c>
    </x:row>
    <x:row r="19" ht="15" hidden="0">
      <x:c r="A19" s="9" t="n">
        <x:v>45985</x:v>
      </x:c>
      <x:c r="B19" s="10" t="s">
        <x:v>85</x:v>
      </x:c>
      <x:c r="C19" s="10" t="s">
        <x:v>87</x:v>
      </x:c>
      <x:c r="D19" s="10" t="s">
        <x:v>77</x:v>
      </x:c>
      <x:c r="E19" s="10" t="s">
        <x:v>82</x:v>
      </x:c>
      <x:c r="F19" s="11" t="n">
        <x:v>384</x:v>
      </x:c>
      <x:c r="G19" s="11" t="n">
        <x:v>445</x:v>
      </x:c>
      <x:c r="H19" s="10" t="s">
        <x:v>83</x:v>
      </x:c>
      <x:c r="I19" t="n">
        <x:v>3.5</x:v>
      </x:c>
      <x:c r="J19" t="n">
        <x:v>15891</x:v>
      </x:c>
    </x:row>
    <x:row r="20" ht="15" hidden="0">
      <x:c r="A20" s="9" t="n">
        <x:v>45985</x:v>
      </x:c>
      <x:c r="B20" s="10" t="s">
        <x:v>85</x:v>
      </x:c>
      <x:c r="C20" s="10" t="s">
        <x:v>87</x:v>
      </x:c>
      <x:c r="D20" s="10" t="s">
        <x:v>80</x:v>
      </x:c>
      <x:c r="E20" s="10" t="s">
        <x:v>78</x:v>
      </x:c>
      <x:c r="F20" s="11" t="n">
        <x:v>506</x:v>
      </x:c>
      <x:c r="G20" s="11" t="n">
        <x:v>677</x:v>
      </x:c>
      <x:c r="H20" s="10" t="s">
        <x:v>83</x:v>
      </x:c>
      <x:c r="I20" t="n">
        <x:v>4.7</x:v>
      </x:c>
      <x:c r="J20" t="n">
        <x:v>10635</x:v>
      </x:c>
    </x:row>
    <x:row r="21" ht="15" hidden="0">
      <x:c r="A21" s="9" t="n">
        <x:v>45985</x:v>
      </x:c>
      <x:c r="B21" s="10" t="s">
        <x:v>85</x:v>
      </x:c>
      <x:c r="C21" s="10" t="s">
        <x:v>87</x:v>
      </x:c>
      <x:c r="D21" s="10" t="s">
        <x:v>81</x:v>
      </x:c>
      <x:c r="E21" s="10" t="s">
        <x:v>82</x:v>
      </x:c>
      <x:c r="F21" s="11" t="n">
        <x:v>488</x:v>
      </x:c>
      <x:c r="G21" s="11" t="n">
        <x:v>530</x:v>
      </x:c>
      <x:c r="H21" s="10" t="s">
        <x:v>83</x:v>
      </x:c>
      <x:c r="I21" t="n">
        <x:v>4.3</x:v>
      </x:c>
      <x:c r="J21" t="n">
        <x:v>18251</x:v>
      </x:c>
    </x:row>
    <x:row r="22" ht="15" hidden="0">
      <x:c r="A22" s="9" t="n">
        <x:v>46006</x:v>
      </x:c>
      <x:c r="B22" s="10" t="s">
        <x:v>85</x:v>
      </x:c>
      <x:c r="C22" s="10" t="s">
        <x:v>86</x:v>
      </x:c>
      <x:c r="D22" s="10" t="s">
        <x:v>74</x:v>
      </x:c>
      <x:c r="E22" s="10" t="s">
        <x:v>78</x:v>
      </x:c>
      <x:c r="F22" s="11" t="n">
        <x:v>364</x:v>
      </x:c>
      <x:c r="G22" s="11" t="n">
        <x:v>429</x:v>
      </x:c>
      <x:c r="H22" s="10" t="s">
        <x:v>76</x:v>
      </x:c>
      <x:c r="I22" t="n">
        <x:v>4.7</x:v>
      </x:c>
      <x:c r="J22" t="n">
        <x:v>6643</x:v>
      </x:c>
    </x:row>
    <x:row r="23" ht="15" hidden="0">
      <x:c r="A23" s="9" t="n">
        <x:v>46006</x:v>
      </x:c>
      <x:c r="B23" s="10" t="s">
        <x:v>85</x:v>
      </x:c>
      <x:c r="C23" s="10" t="s">
        <x:v>86</x:v>
      </x:c>
      <x:c r="D23" s="10" t="s">
        <x:v>77</x:v>
      </x:c>
      <x:c r="E23" s="10" t="s">
        <x:v>75</x:v>
      </x:c>
      <x:c r="F23" s="11" t="n">
        <x:v>378</x:v>
      </x:c>
      <x:c r="G23" s="11" t="n">
        <x:v>539</x:v>
      </x:c>
      <x:c r="H23" s="10" t="s">
        <x:v>83</x:v>
      </x:c>
      <x:c r="I23" t="n">
        <x:v>4.6</x:v>
      </x:c>
      <x:c r="J23" t="n">
        <x:v>1488</x:v>
      </x:c>
    </x:row>
    <x:row r="24" ht="15" hidden="0">
      <x:c r="A24" s="9" t="n">
        <x:v>46006</x:v>
      </x:c>
      <x:c r="B24" s="10" t="s">
        <x:v>85</x:v>
      </x:c>
      <x:c r="C24" s="10" t="s">
        <x:v>86</x:v>
      </x:c>
      <x:c r="D24" s="10" t="s">
        <x:v>80</x:v>
      </x:c>
      <x:c r="E24" s="10" t="s">
        <x:v>82</x:v>
      </x:c>
      <x:c r="F24" s="11" t="n">
        <x:v>470</x:v>
      </x:c>
      <x:c r="G24" s="11" t="n">
        <x:v>539</x:v>
      </x:c>
      <x:c r="H24" s="10" t="s">
        <x:v>83</x:v>
      </x:c>
      <x:c r="I24" t="n">
        <x:v>4.7</x:v>
      </x:c>
      <x:c r="J24" t="n">
        <x:v>7183</x:v>
      </x:c>
    </x:row>
    <x:row r="25" ht="15" hidden="0">
      <x:c r="A25" s="9" t="n">
        <x:v>46006</x:v>
      </x:c>
      <x:c r="B25" s="10" t="s">
        <x:v>85</x:v>
      </x:c>
      <x:c r="C25" s="10" t="s">
        <x:v>86</x:v>
      </x:c>
      <x:c r="D25" s="10" t="s">
        <x:v>81</x:v>
      </x:c>
      <x:c r="E25" s="10" t="s">
        <x:v>75</x:v>
      </x:c>
      <x:c r="F25" s="11" t="n">
        <x:v>459</x:v>
      </x:c>
      <x:c r="G25" s="11" t="n">
        <x:v>487</x:v>
      </x:c>
      <x:c r="H25" s="10" t="s">
        <x:v>83</x:v>
      </x:c>
      <x:c r="I25" t="n">
        <x:v>4.5</x:v>
      </x:c>
      <x:c r="J25" t="n">
        <x:v>1563</x:v>
      </x:c>
    </x:row>
    <x:row r="26" ht="15" hidden="0">
      <x:c r="A26" s="9" t="n">
        <x:v>46069</x:v>
      </x:c>
      <x:c r="B26" s="10" t="s">
        <x:v>88</x:v>
      </x:c>
      <x:c r="C26" s="10" t="s">
        <x:v>89</x:v>
      </x:c>
      <x:c r="D26" s="10" t="s">
        <x:v>74</x:v>
      </x:c>
      <x:c r="E26" s="10" t="s">
        <x:v>82</x:v>
      </x:c>
      <x:c r="F26" s="11" t="n">
        <x:v>1815</x:v>
      </x:c>
      <x:c r="G26" s="11" t="n">
        <x:v>2714</x:v>
      </x:c>
      <x:c r="H26" s="10" t="s">
        <x:v>83</x:v>
      </x:c>
      <x:c r="I26" t="n">
        <x:v>4.3</x:v>
      </x:c>
      <x:c r="J26" t="n">
        <x:v>17662</x:v>
      </x:c>
    </x:row>
    <x:row r="27" ht="15" hidden="0">
      <x:c r="A27" s="9" t="n">
        <x:v>46069</x:v>
      </x:c>
      <x:c r="B27" s="10" t="s">
        <x:v>88</x:v>
      </x:c>
      <x:c r="C27" s="10" t="s">
        <x:v>89</x:v>
      </x:c>
      <x:c r="D27" s="10" t="s">
        <x:v>77</x:v>
      </x:c>
      <x:c r="E27" s="10" t="s">
        <x:v>78</x:v>
      </x:c>
      <x:c r="F27" s="11" t="n">
        <x:v>1785</x:v>
      </x:c>
      <x:c r="G27" s="11" t="n">
        <x:v>1985</x:v>
      </x:c>
      <x:c r="H27" s="10" t="s">
        <x:v>83</x:v>
      </x:c>
      <x:c r="I27" t="n">
        <x:v>4.2</x:v>
      </x:c>
      <x:c r="J27" t="n">
        <x:v>17463</x:v>
      </x:c>
    </x:row>
    <x:row r="28" ht="15" hidden="0">
      <x:c r="A28" s="9" t="n">
        <x:v>46069</x:v>
      </x:c>
      <x:c r="B28" s="10" t="s">
        <x:v>88</x:v>
      </x:c>
      <x:c r="C28" s="10" t="s">
        <x:v>89</x:v>
      </x:c>
      <x:c r="D28" s="10" t="s">
        <x:v>80</x:v>
      </x:c>
      <x:c r="E28" s="10" t="s">
        <x:v>78</x:v>
      </x:c>
      <x:c r="F28" s="11" t="n">
        <x:v>1809</x:v>
      </x:c>
      <x:c r="G28" s="11" t="n">
        <x:v>2614</x:v>
      </x:c>
      <x:c r="H28" s="10" t="s">
        <x:v>83</x:v>
      </x:c>
      <x:c r="I28" t="n">
        <x:v>3.5</x:v>
      </x:c>
      <x:c r="J28" t="n">
        <x:v>2863</x:v>
      </x:c>
    </x:row>
    <x:row r="29" ht="15" hidden="0">
      <x:c r="A29" s="9" t="n">
        <x:v>46069</x:v>
      </x:c>
      <x:c r="B29" s="10" t="s">
        <x:v>88</x:v>
      </x:c>
      <x:c r="C29" s="10" t="s">
        <x:v>89</x:v>
      </x:c>
      <x:c r="D29" s="10" t="s">
        <x:v>81</x:v>
      </x:c>
      <x:c r="E29" s="10" t="s">
        <x:v>78</x:v>
      </x:c>
      <x:c r="F29" s="11" t="n">
        <x:v>1819</x:v>
      </x:c>
      <x:c r="G29" s="11" t="n">
        <x:v>2648</x:v>
      </x:c>
      <x:c r="H29" s="10" t="s">
        <x:v>83</x:v>
      </x:c>
      <x:c r="I29" t="n">
        <x:v>3.5</x:v>
      </x:c>
      <x:c r="J29" t="n">
        <x:v>9085</x:v>
      </x:c>
    </x:row>
    <x:row r="30" ht="15" hidden="0">
      <x:c r="A30" s="9" t="n">
        <x:v>45936</x:v>
      </x:c>
      <x:c r="B30" s="10" t="s">
        <x:v>72</x:v>
      </x:c>
      <x:c r="C30" s="10" t="s">
        <x:v>90</x:v>
      </x:c>
      <x:c r="D30" s="10" t="s">
        <x:v>74</x:v>
      </x:c>
      <x:c r="E30" s="10" t="s">
        <x:v>78</x:v>
      </x:c>
      <x:c r="F30" s="11" t="n">
        <x:v>1619</x:v>
      </x:c>
      <x:c r="G30" s="11" t="n">
        <x:v>2192</x:v>
      </x:c>
      <x:c r="H30" s="10" t="s">
        <x:v>79</x:v>
      </x:c>
      <x:c r="I30" t="n">
        <x:v>3.7</x:v>
      </x:c>
      <x:c r="J30" t="n">
        <x:v>9813</x:v>
      </x:c>
    </x:row>
    <x:row r="31" ht="15" hidden="0">
      <x:c r="A31" s="9" t="n">
        <x:v>45936</x:v>
      </x:c>
      <x:c r="B31" s="10" t="s">
        <x:v>72</x:v>
      </x:c>
      <x:c r="C31" s="10" t="s">
        <x:v>90</x:v>
      </x:c>
      <x:c r="D31" s="10" t="s">
        <x:v>77</x:v>
      </x:c>
      <x:c r="E31" s="10" t="s">
        <x:v>75</x:v>
      </x:c>
      <x:c r="F31" s="11" t="n">
        <x:v>1611</x:v>
      </x:c>
      <x:c r="G31" s="11" t="n">
        <x:v>1769</x:v>
      </x:c>
      <x:c r="H31" s="10" t="s">
        <x:v>79</x:v>
      </x:c>
      <x:c r="I31" t="n">
        <x:v>3.9</x:v>
      </x:c>
      <x:c r="J31" t="n">
        <x:v>13973</x:v>
      </x:c>
    </x:row>
    <x:row r="32" ht="15" hidden="0">
      <x:c r="A32" s="9" t="n">
        <x:v>45936</x:v>
      </x:c>
      <x:c r="B32" s="10" t="s">
        <x:v>72</x:v>
      </x:c>
      <x:c r="C32" s="10" t="s">
        <x:v>90</x:v>
      </x:c>
      <x:c r="D32" s="10" t="s">
        <x:v>80</x:v>
      </x:c>
      <x:c r="E32" s="10" t="s">
        <x:v>82</x:v>
      </x:c>
      <x:c r="F32" s="11" t="n">
        <x:v>1678</x:v>
      </x:c>
      <x:c r="G32" s="11" t="n">
        <x:v>1871</x:v>
      </x:c>
      <x:c r="H32" s="10" t="s">
        <x:v>76</x:v>
      </x:c>
      <x:c r="I32" t="n">
        <x:v>4.7</x:v>
      </x:c>
      <x:c r="J32" t="n">
        <x:v>11843</x:v>
      </x:c>
    </x:row>
    <x:row r="33" ht="15" hidden="0">
      <x:c r="A33" s="9" t="n">
        <x:v>45936</x:v>
      </x:c>
      <x:c r="B33" s="10" t="s">
        <x:v>72</x:v>
      </x:c>
      <x:c r="C33" s="10" t="s">
        <x:v>90</x:v>
      </x:c>
      <x:c r="D33" s="10" t="s">
        <x:v>81</x:v>
      </x:c>
      <x:c r="E33" s="10" t="s">
        <x:v>78</x:v>
      </x:c>
      <x:c r="F33" s="11" t="n">
        <x:v>1778</x:v>
      </x:c>
      <x:c r="G33" s="11" t="n">
        <x:v>2168</x:v>
      </x:c>
      <x:c r="H33" s="10" t="s">
        <x:v>83</x:v>
      </x:c>
      <x:c r="I33" t="n">
        <x:v>4.6</x:v>
      </x:c>
      <x:c r="J33" t="n">
        <x:v>13555</x:v>
      </x:c>
    </x:row>
    <x:row r="34" ht="15" hidden="0">
      <x:c r="A34" s="9" t="n">
        <x:v>46027</x:v>
      </x:c>
      <x:c r="B34" s="10" t="s">
        <x:v>85</x:v>
      </x:c>
      <x:c r="C34" s="10" t="s">
        <x:v>86</x:v>
      </x:c>
      <x:c r="D34" s="10" t="s">
        <x:v>74</x:v>
      </x:c>
      <x:c r="E34" s="10" t="s">
        <x:v>75</x:v>
      </x:c>
      <x:c r="F34" s="11" t="n">
        <x:v>327</x:v>
      </x:c>
      <x:c r="G34" s="11" t="n">
        <x:v>394</x:v>
      </x:c>
      <x:c r="H34" s="10" t="s">
        <x:v>79</x:v>
      </x:c>
      <x:c r="I34" t="n">
        <x:v>4.5</x:v>
      </x:c>
      <x:c r="J34" t="n">
        <x:v>9073</x:v>
      </x:c>
    </x:row>
    <x:row r="35" ht="15" hidden="0">
      <x:c r="A35" s="9" t="n">
        <x:v>46027</x:v>
      </x:c>
      <x:c r="B35" s="10" t="s">
        <x:v>85</x:v>
      </x:c>
      <x:c r="C35" s="10" t="s">
        <x:v>86</x:v>
      </x:c>
      <x:c r="D35" s="10" t="s">
        <x:v>77</x:v>
      </x:c>
      <x:c r="E35" s="10" t="s">
        <x:v>78</x:v>
      </x:c>
      <x:c r="F35" s="11" t="n">
        <x:v>374</x:v>
      </x:c>
      <x:c r="G35" s="11" t="n">
        <x:v>485</x:v>
      </x:c>
      <x:c r="H35" s="10" t="s">
        <x:v>83</x:v>
      </x:c>
      <x:c r="I35" t="n">
        <x:v>3.9</x:v>
      </x:c>
      <x:c r="J35" t="n">
        <x:v>3949</x:v>
      </x:c>
    </x:row>
    <x:row r="36" ht="15" hidden="0">
      <x:c r="A36" s="9" t="n">
        <x:v>46027</x:v>
      </x:c>
      <x:c r="B36" s="10" t="s">
        <x:v>85</x:v>
      </x:c>
      <x:c r="C36" s="10" t="s">
        <x:v>86</x:v>
      </x:c>
      <x:c r="D36" s="10" t="s">
        <x:v>80</x:v>
      </x:c>
      <x:c r="E36" s="10" t="s">
        <x:v>82</x:v>
      </x:c>
      <x:c r="F36" s="11" t="n">
        <x:v>305</x:v>
      </x:c>
      <x:c r="G36" s="11" t="n">
        <x:v>409</x:v>
      </x:c>
      <x:c r="H36" s="10" t="s">
        <x:v>76</x:v>
      </x:c>
      <x:c r="I36" t="n">
        <x:v>4.7</x:v>
      </x:c>
      <x:c r="J36" t="n">
        <x:v>5684</x:v>
      </x:c>
    </x:row>
    <x:row r="37" ht="15" hidden="0">
      <x:c r="A37" s="9" t="n">
        <x:v>46027</x:v>
      </x:c>
      <x:c r="B37" s="10" t="s">
        <x:v>85</x:v>
      </x:c>
      <x:c r="C37" s="10" t="s">
        <x:v>86</x:v>
      </x:c>
      <x:c r="D37" s="10" t="s">
        <x:v>81</x:v>
      </x:c>
      <x:c r="E37" s="10" t="s">
        <x:v>82</x:v>
      </x:c>
      <x:c r="F37" s="11" t="n">
        <x:v>291</x:v>
      </x:c>
      <x:c r="G37" s="11" t="n">
        <x:v>305</x:v>
      </x:c>
      <x:c r="H37" s="10" t="s">
        <x:v>83</x:v>
      </x:c>
      <x:c r="I37" t="n">
        <x:v>4.6</x:v>
      </x:c>
      <x:c r="J37" t="n">
        <x:v>16883</x:v>
      </x:c>
    </x:row>
    <x:row r="38" ht="15" hidden="0">
      <x:c r="A38" s="9" t="n">
        <x:v>46062</x:v>
      </x:c>
      <x:c r="B38" s="10" t="s">
        <x:v>88</x:v>
      </x:c>
      <x:c r="C38" s="10" t="s">
        <x:v>91</x:v>
      </x:c>
      <x:c r="D38" s="10" t="s">
        <x:v>74</x:v>
      </x:c>
      <x:c r="E38" s="10" t="s">
        <x:v>75</x:v>
      </x:c>
      <x:c r="F38" s="11" t="n">
        <x:v>490</x:v>
      </x:c>
      <x:c r="G38" s="11" t="n">
        <x:v>654</x:v>
      </x:c>
      <x:c r="H38" s="10" t="s">
        <x:v>79</x:v>
      </x:c>
      <x:c r="I38" t="n">
        <x:v>3.7</x:v>
      </x:c>
      <x:c r="J38" t="n">
        <x:v>19990</x:v>
      </x:c>
    </x:row>
    <x:row r="39" ht="15" hidden="0">
      <x:c r="A39" s="9" t="n">
        <x:v>46062</x:v>
      </x:c>
      <x:c r="B39" s="10" t="s">
        <x:v>88</x:v>
      </x:c>
      <x:c r="C39" s="10" t="s">
        <x:v>91</x:v>
      </x:c>
      <x:c r="D39" s="10" t="s">
        <x:v>77</x:v>
      </x:c>
      <x:c r="E39" s="10" t="s">
        <x:v>75</x:v>
      </x:c>
      <x:c r="F39" s="11" t="n">
        <x:v>569</x:v>
      </x:c>
      <x:c r="G39" s="11" t="n">
        <x:v>723</x:v>
      </x:c>
      <x:c r="H39" s="10" t="s">
        <x:v>83</x:v>
      </x:c>
      <x:c r="I39" t="n">
        <x:v>4.7</x:v>
      </x:c>
      <x:c r="J39" t="n">
        <x:v>6476</x:v>
      </x:c>
    </x:row>
    <x:row r="40" ht="15" hidden="0">
      <x:c r="A40" s="9" t="n">
        <x:v>46062</x:v>
      </x:c>
      <x:c r="B40" s="10" t="s">
        <x:v>88</x:v>
      </x:c>
      <x:c r="C40" s="10" t="s">
        <x:v>91</x:v>
      </x:c>
      <x:c r="D40" s="10" t="s">
        <x:v>80</x:v>
      </x:c>
      <x:c r="E40" s="10" t="s">
        <x:v>78</x:v>
      </x:c>
      <x:c r="F40" s="11" t="n">
        <x:v>435</x:v>
      </x:c>
      <x:c r="G40" s="11" t="n">
        <x:v>574</x:v>
      </x:c>
      <x:c r="H40" s="10" t="s">
        <x:v>83</x:v>
      </x:c>
      <x:c r="I40" t="n">
        <x:v>3.4</x:v>
      </x:c>
      <x:c r="J40" t="n">
        <x:v>3862</x:v>
      </x:c>
    </x:row>
    <x:row r="41" ht="15" hidden="0">
      <x:c r="A41" s="9" t="n">
        <x:v>46062</x:v>
      </x:c>
      <x:c r="B41" s="10" t="s">
        <x:v>88</x:v>
      </x:c>
      <x:c r="C41" s="10" t="s">
        <x:v>91</x:v>
      </x:c>
      <x:c r="D41" s="10" t="s">
        <x:v>81</x:v>
      </x:c>
      <x:c r="E41" s="10" t="s">
        <x:v>75</x:v>
      </x:c>
      <x:c r="F41" s="11" t="n">
        <x:v>515</x:v>
      </x:c>
      <x:c r="G41" s="11" t="n">
        <x:v>708</x:v>
      </x:c>
      <x:c r="H41" s="10" t="s">
        <x:v>79</x:v>
      </x:c>
      <x:c r="I41" t="n">
        <x:v>3.7</x:v>
      </x:c>
      <x:c r="J41" t="n">
        <x:v>5870</x:v>
      </x:c>
    </x:row>
    <x:row r="42" ht="15" hidden="0">
      <x:c r="A42" s="9" t="n">
        <x:v>46006</x:v>
      </x:c>
      <x:c r="B42" s="10" t="s">
        <x:v>92</x:v>
      </x:c>
      <x:c r="C42" s="10" t="s">
        <x:v>93</x:v>
      </x:c>
      <x:c r="D42" s="10" t="s">
        <x:v>74</x:v>
      </x:c>
      <x:c r="E42" s="10" t="s">
        <x:v>78</x:v>
      </x:c>
      <x:c r="F42" s="11" t="n">
        <x:v>1812</x:v>
      </x:c>
      <x:c r="G42" s="11" t="n">
        <x:v>2646</x:v>
      </x:c>
      <x:c r="H42" s="10" t="s">
        <x:v>76</x:v>
      </x:c>
      <x:c r="I42" t="n">
        <x:v>4.3</x:v>
      </x:c>
      <x:c r="J42" t="n">
        <x:v>7252</x:v>
      </x:c>
    </x:row>
    <x:row r="43" ht="15" hidden="0">
      <x:c r="A43" s="9" t="n">
        <x:v>46006</x:v>
      </x:c>
      <x:c r="B43" s="10" t="s">
        <x:v>92</x:v>
      </x:c>
      <x:c r="C43" s="10" t="s">
        <x:v>93</x:v>
      </x:c>
      <x:c r="D43" s="10" t="s">
        <x:v>77</x:v>
      </x:c>
      <x:c r="E43" s="10" t="s">
        <x:v>78</x:v>
      </x:c>
      <x:c r="F43" s="11" t="n">
        <x:v>2007</x:v>
      </x:c>
      <x:c r="G43" s="11" t="n">
        <x:v>2485</x:v>
      </x:c>
      <x:c r="H43" s="10" t="s">
        <x:v>76</x:v>
      </x:c>
      <x:c r="I43" t="n">
        <x:v>4.1</x:v>
      </x:c>
      <x:c r="J43" t="n">
        <x:v>2955</x:v>
      </x:c>
    </x:row>
    <x:row r="44" ht="15" hidden="0">
      <x:c r="A44" s="9" t="n">
        <x:v>46006</x:v>
      </x:c>
      <x:c r="B44" s="10" t="s">
        <x:v>92</x:v>
      </x:c>
      <x:c r="C44" s="10" t="s">
        <x:v>93</x:v>
      </x:c>
      <x:c r="D44" s="10" t="s">
        <x:v>80</x:v>
      </x:c>
      <x:c r="E44" s="10" t="s">
        <x:v>82</x:v>
      </x:c>
      <x:c r="F44" s="11" t="n">
        <x:v>2028</x:v>
      </x:c>
      <x:c r="G44" s="11" t="n">
        <x:v>2959</x:v>
      </x:c>
      <x:c r="H44" s="10" t="s">
        <x:v>76</x:v>
      </x:c>
      <x:c r="I44" t="n">
        <x:v>4</x:v>
      </x:c>
      <x:c r="J44" t="n">
        <x:v>16242</x:v>
      </x:c>
    </x:row>
    <x:row r="45" ht="15" hidden="0">
      <x:c r="A45" s="9" t="n">
        <x:v>46006</x:v>
      </x:c>
      <x:c r="B45" s="10" t="s">
        <x:v>92</x:v>
      </x:c>
      <x:c r="C45" s="10" t="s">
        <x:v>93</x:v>
      </x:c>
      <x:c r="D45" s="10" t="s">
        <x:v>81</x:v>
      </x:c>
      <x:c r="E45" s="10" t="s">
        <x:v>75</x:v>
      </x:c>
      <x:c r="F45" s="11" t="n">
        <x:v>1626</x:v>
      </x:c>
      <x:c r="G45" s="11" t="n">
        <x:v>2103</x:v>
      </x:c>
      <x:c r="H45" s="10" t="s">
        <x:v>79</x:v>
      </x:c>
      <x:c r="I45" t="n">
        <x:v>3.5</x:v>
      </x:c>
      <x:c r="J45" t="n">
        <x:v>15618</x:v>
      </x:c>
    </x:row>
    <x:row r="46" ht="15" hidden="0">
      <x:c r="A46" s="9" t="n">
        <x:v>45999</x:v>
      </x:c>
      <x:c r="B46" s="10" t="s">
        <x:v>85</x:v>
      </x:c>
      <x:c r="C46" s="10" t="s">
        <x:v>86</x:v>
      </x:c>
      <x:c r="D46" s="10" t="s">
        <x:v>74</x:v>
      </x:c>
      <x:c r="E46" s="10" t="s">
        <x:v>78</x:v>
      </x:c>
      <x:c r="F46" s="11" t="n">
        <x:v>472</x:v>
      </x:c>
      <x:c r="G46" s="11" t="n">
        <x:v>529</x:v>
      </x:c>
      <x:c r="H46" s="10" t="s">
        <x:v>79</x:v>
      </x:c>
      <x:c r="I46" t="n">
        <x:v>4.4</x:v>
      </x:c>
      <x:c r="J46" t="n">
        <x:v>4040</x:v>
      </x:c>
    </x:row>
    <x:row r="47" ht="15" hidden="0">
      <x:c r="A47" s="9" t="n">
        <x:v>45999</x:v>
      </x:c>
      <x:c r="B47" s="10" t="s">
        <x:v>85</x:v>
      </x:c>
      <x:c r="C47" s="10" t="s">
        <x:v>86</x:v>
      </x:c>
      <x:c r="D47" s="10" t="s">
        <x:v>77</x:v>
      </x:c>
      <x:c r="E47" s="10" t="s">
        <x:v>78</x:v>
      </x:c>
      <x:c r="F47" s="11" t="n">
        <x:v>405</x:v>
      </x:c>
      <x:c r="G47" s="11" t="n">
        <x:v>563</x:v>
      </x:c>
      <x:c r="H47" s="10" t="s">
        <x:v>83</x:v>
      </x:c>
      <x:c r="I47" t="n">
        <x:v>4.2</x:v>
      </x:c>
      <x:c r="J47" t="n">
        <x:v>15078</x:v>
      </x:c>
    </x:row>
    <x:row r="48" ht="15" hidden="0">
      <x:c r="A48" s="9" t="n">
        <x:v>45999</x:v>
      </x:c>
      <x:c r="B48" s="10" t="s">
        <x:v>85</x:v>
      </x:c>
      <x:c r="C48" s="10" t="s">
        <x:v>86</x:v>
      </x:c>
      <x:c r="D48" s="10" t="s">
        <x:v>80</x:v>
      </x:c>
      <x:c r="E48" s="10" t="s">
        <x:v>75</x:v>
      </x:c>
      <x:c r="F48" s="11" t="n">
        <x:v>458</x:v>
      </x:c>
      <x:c r="G48" s="11" t="n">
        <x:v>484</x:v>
      </x:c>
      <x:c r="H48" s="10" t="s">
        <x:v>79</x:v>
      </x:c>
      <x:c r="I48" t="n">
        <x:v>3.5</x:v>
      </x:c>
      <x:c r="J48" t="n">
        <x:v>2826</x:v>
      </x:c>
    </x:row>
    <x:row r="49" ht="15" hidden="0">
      <x:c r="A49" s="9" t="n">
        <x:v>45999</x:v>
      </x:c>
      <x:c r="B49" s="10" t="s">
        <x:v>85</x:v>
      </x:c>
      <x:c r="C49" s="10" t="s">
        <x:v>86</x:v>
      </x:c>
      <x:c r="D49" s="10" t="s">
        <x:v>81</x:v>
      </x:c>
      <x:c r="E49" s="10" t="s">
        <x:v>75</x:v>
      </x:c>
      <x:c r="F49" s="11" t="n">
        <x:v>461</x:v>
      </x:c>
      <x:c r="G49" s="11" t="n">
        <x:v>680</x:v>
      </x:c>
      <x:c r="H49" s="10" t="s">
        <x:v>76</x:v>
      </x:c>
      <x:c r="I49" t="n">
        <x:v>3.9</x:v>
      </x:c>
      <x:c r="J49" t="n">
        <x:v>12116</x:v>
      </x:c>
    </x:row>
    <x:row r="50" ht="15" hidden="0">
      <x:c r="A50" s="9" t="n">
        <x:v>46055</x:v>
      </x:c>
      <x:c r="B50" s="10" t="s">
        <x:v>92</x:v>
      </x:c>
      <x:c r="C50" s="10" t="s">
        <x:v>94</x:v>
      </x:c>
      <x:c r="D50" s="10" t="s">
        <x:v>74</x:v>
      </x:c>
      <x:c r="E50" s="10" t="s">
        <x:v>75</x:v>
      </x:c>
      <x:c r="F50" s="11" t="n">
        <x:v>1047</x:v>
      </x:c>
      <x:c r="G50" s="11" t="n">
        <x:v>1205</x:v>
      </x:c>
      <x:c r="H50" s="10" t="s">
        <x:v>76</x:v>
      </x:c>
      <x:c r="I50" t="n">
        <x:v>3.9</x:v>
      </x:c>
      <x:c r="J50" t="n">
        <x:v>10204</x:v>
      </x:c>
    </x:row>
    <x:row r="51" ht="15" hidden="0">
      <x:c r="A51" s="9" t="n">
        <x:v>46055</x:v>
      </x:c>
      <x:c r="B51" s="10" t="s">
        <x:v>92</x:v>
      </x:c>
      <x:c r="C51" s="10" t="s">
        <x:v>94</x:v>
      </x:c>
      <x:c r="D51" s="10" t="s">
        <x:v>77</x:v>
      </x:c>
      <x:c r="E51" s="10" t="s">
        <x:v>75</x:v>
      </x:c>
      <x:c r="F51" s="11" t="n">
        <x:v>946</x:v>
      </x:c>
      <x:c r="G51" s="11" t="n">
        <x:v>1198</x:v>
      </x:c>
      <x:c r="H51" s="10" t="s">
        <x:v>83</x:v>
      </x:c>
      <x:c r="I51" t="n">
        <x:v>4.4</x:v>
      </x:c>
      <x:c r="J51" t="n">
        <x:v>13598</x:v>
      </x:c>
    </x:row>
    <x:row r="52" ht="15" hidden="0">
      <x:c r="A52" s="9" t="n">
        <x:v>46055</x:v>
      </x:c>
      <x:c r="B52" s="10" t="s">
        <x:v>92</x:v>
      </x:c>
      <x:c r="C52" s="10" t="s">
        <x:v>94</x:v>
      </x:c>
      <x:c r="D52" s="10" t="s">
        <x:v>80</x:v>
      </x:c>
      <x:c r="E52" s="10" t="s">
        <x:v>75</x:v>
      </x:c>
      <x:c r="F52" s="11" t="n">
        <x:v>1000</x:v>
      </x:c>
      <x:c r="G52" s="11" t="n">
        <x:v>1247</x:v>
      </x:c>
      <x:c r="H52" s="10" t="s">
        <x:v>79</x:v>
      </x:c>
      <x:c r="I52" t="n">
        <x:v>4</x:v>
      </x:c>
      <x:c r="J52" t="n">
        <x:v>1144</x:v>
      </x:c>
    </x:row>
    <x:row r="53" ht="15" hidden="0">
      <x:c r="A53" s="9" t="n">
        <x:v>46055</x:v>
      </x:c>
      <x:c r="B53" s="10" t="s">
        <x:v>92</x:v>
      </x:c>
      <x:c r="C53" s="10" t="s">
        <x:v>94</x:v>
      </x:c>
      <x:c r="D53" s="10" t="s">
        <x:v>81</x:v>
      </x:c>
      <x:c r="E53" s="10" t="s">
        <x:v>75</x:v>
      </x:c>
      <x:c r="F53" s="11" t="n">
        <x:v>943</x:v>
      </x:c>
      <x:c r="G53" s="11" t="n">
        <x:v>1382</x:v>
      </x:c>
      <x:c r="H53" s="10" t="s">
        <x:v>79</x:v>
      </x:c>
      <x:c r="I53" t="n">
        <x:v>4.4</x:v>
      </x:c>
      <x:c r="J53" t="n">
        <x:v>17039</x:v>
      </x:c>
    </x:row>
    <x:row r="54" ht="15" hidden="0">
      <x:c r="A54" s="9" t="n">
        <x:v>46027</x:v>
      </x:c>
      <x:c r="B54" s="10" t="s">
        <x:v>72</x:v>
      </x:c>
      <x:c r="C54" s="10" t="s">
        <x:v>95</x:v>
      </x:c>
      <x:c r="D54" s="10" t="s">
        <x:v>74</x:v>
      </x:c>
      <x:c r="E54" s="10" t="s">
        <x:v>78</x:v>
      </x:c>
      <x:c r="F54" s="11" t="n">
        <x:v>4690</x:v>
      </x:c>
      <x:c r="G54" s="11" t="n">
        <x:v>5153</x:v>
      </x:c>
      <x:c r="H54" s="10" t="s">
        <x:v>79</x:v>
      </x:c>
      <x:c r="I54" t="n">
        <x:v>4.1</x:v>
      </x:c>
      <x:c r="J54" t="n">
        <x:v>7056</x:v>
      </x:c>
    </x:row>
    <x:row r="55" ht="15" hidden="0">
      <x:c r="A55" s="9" t="n">
        <x:v>46027</x:v>
      </x:c>
      <x:c r="B55" s="10" t="s">
        <x:v>72</x:v>
      </x:c>
      <x:c r="C55" s="10" t="s">
        <x:v>95</x:v>
      </x:c>
      <x:c r="D55" s="10" t="s">
        <x:v>77</x:v>
      </x:c>
      <x:c r="E55" s="10" t="s">
        <x:v>78</x:v>
      </x:c>
      <x:c r="F55" s="11" t="n">
        <x:v>4200</x:v>
      </x:c>
      <x:c r="G55" s="11" t="n">
        <x:v>5056</x:v>
      </x:c>
      <x:c r="H55" s="10" t="s">
        <x:v>83</x:v>
      </x:c>
      <x:c r="I55" t="n">
        <x:v>4.5</x:v>
      </x:c>
      <x:c r="J55" t="n">
        <x:v>5628</x:v>
      </x:c>
    </x:row>
    <x:row r="56" ht="15" hidden="0">
      <x:c r="A56" s="9" t="n">
        <x:v>46027</x:v>
      </x:c>
      <x:c r="B56" s="10" t="s">
        <x:v>72</x:v>
      </x:c>
      <x:c r="C56" s="10" t="s">
        <x:v>95</x:v>
      </x:c>
      <x:c r="D56" s="10" t="s">
        <x:v>80</x:v>
      </x:c>
      <x:c r="E56" s="10" t="s">
        <x:v>82</x:v>
      </x:c>
      <x:c r="F56" s="11" t="n">
        <x:v>5636</x:v>
      </x:c>
      <x:c r="G56" s="11" t="n">
        <x:v>6885</x:v>
      </x:c>
      <x:c r="H56" s="10" t="s">
        <x:v>79</x:v>
      </x:c>
      <x:c r="I56" t="n">
        <x:v>4.7</x:v>
      </x:c>
      <x:c r="J56" t="n">
        <x:v>107</x:v>
      </x:c>
    </x:row>
    <x:row r="57" ht="15" hidden="0">
      <x:c r="A57" s="9" t="n">
        <x:v>46027</x:v>
      </x:c>
      <x:c r="B57" s="10" t="s">
        <x:v>72</x:v>
      </x:c>
      <x:c r="C57" s="10" t="s">
        <x:v>95</x:v>
      </x:c>
      <x:c r="D57" s="10" t="s">
        <x:v>81</x:v>
      </x:c>
      <x:c r="E57" s="10" t="s">
        <x:v>78</x:v>
      </x:c>
      <x:c r="F57" s="11" t="n">
        <x:v>4588</x:v>
      </x:c>
      <x:c r="G57" s="11" t="n">
        <x:v>6177</x:v>
      </x:c>
      <x:c r="H57" s="10" t="s">
        <x:v>79</x:v>
      </x:c>
      <x:c r="I57" t="n">
        <x:v>4.5</x:v>
      </x:c>
      <x:c r="J57" t="n">
        <x:v>10836</x:v>
      </x:c>
    </x:row>
    <x:row r="58" ht="15" hidden="0">
      <x:c r="A58" s="9" t="n">
        <x:v>46069</x:v>
      </x:c>
      <x:c r="B58" s="10" t="s">
        <x:v>85</x:v>
      </x:c>
      <x:c r="C58" s="10" t="s">
        <x:v>86</x:v>
      </x:c>
      <x:c r="D58" s="10" t="s">
        <x:v>74</x:v>
      </x:c>
      <x:c r="E58" s="10" t="s">
        <x:v>82</x:v>
      </x:c>
      <x:c r="F58" s="11" t="n">
        <x:v>405</x:v>
      </x:c>
      <x:c r="G58" s="11" t="n">
        <x:v>584</x:v>
      </x:c>
      <x:c r="H58" s="10" t="s">
        <x:v>83</x:v>
      </x:c>
      <x:c r="I58" t="n">
        <x:v>3.7</x:v>
      </x:c>
      <x:c r="J58" t="n">
        <x:v>6780</x:v>
      </x:c>
    </x:row>
    <x:row r="59" ht="15" hidden="0">
      <x:c r="A59" s="9" t="n">
        <x:v>46069</x:v>
      </x:c>
      <x:c r="B59" s="10" t="s">
        <x:v>85</x:v>
      </x:c>
      <x:c r="C59" s="10" t="s">
        <x:v>86</x:v>
      </x:c>
      <x:c r="D59" s="10" t="s">
        <x:v>77</x:v>
      </x:c>
      <x:c r="E59" s="10" t="s">
        <x:v>82</x:v>
      </x:c>
      <x:c r="F59" s="11" t="n">
        <x:v>471</x:v>
      </x:c>
      <x:c r="G59" s="11" t="n">
        <x:v>526</x:v>
      </x:c>
      <x:c r="H59" s="10" t="s">
        <x:v>83</x:v>
      </x:c>
      <x:c r="I59" t="n">
        <x:v>3.6</x:v>
      </x:c>
      <x:c r="J59" t="n">
        <x:v>4918</x:v>
      </x:c>
    </x:row>
    <x:row r="60" ht="15" hidden="0">
      <x:c r="A60" s="9" t="n">
        <x:v>46069</x:v>
      </x:c>
      <x:c r="B60" s="10" t="s">
        <x:v>85</x:v>
      </x:c>
      <x:c r="C60" s="10" t="s">
        <x:v>86</x:v>
      </x:c>
      <x:c r="D60" s="10" t="s">
        <x:v>80</x:v>
      </x:c>
      <x:c r="E60" s="10" t="s">
        <x:v>78</x:v>
      </x:c>
      <x:c r="F60" s="11" t="n">
        <x:v>414</x:v>
      </x:c>
      <x:c r="G60" s="11" t="n">
        <x:v>565</x:v>
      </x:c>
      <x:c r="H60" s="10" t="s">
        <x:v>83</x:v>
      </x:c>
      <x:c r="I60" t="n">
        <x:v>3.9</x:v>
      </x:c>
      <x:c r="J60" t="n">
        <x:v>12243</x:v>
      </x:c>
    </x:row>
    <x:row r="61" ht="15" hidden="0">
      <x:c r="A61" s="9" t="n">
        <x:v>46069</x:v>
      </x:c>
      <x:c r="B61" s="10" t="s">
        <x:v>85</x:v>
      </x:c>
      <x:c r="C61" s="10" t="s">
        <x:v>86</x:v>
      </x:c>
      <x:c r="D61" s="10" t="s">
        <x:v>81</x:v>
      </x:c>
      <x:c r="E61" s="10" t="s">
        <x:v>78</x:v>
      </x:c>
      <x:c r="F61" s="11" t="n">
        <x:v>412</x:v>
      </x:c>
      <x:c r="G61" s="11" t="n">
        <x:v>602</x:v>
      </x:c>
      <x:c r="H61" s="10" t="s">
        <x:v>79</x:v>
      </x:c>
      <x:c r="I61" t="n">
        <x:v>4.7</x:v>
      </x:c>
      <x:c r="J61" t="n">
        <x:v>5697</x:v>
      </x:c>
    </x:row>
    <x:row r="62" ht="15" hidden="0">
      <x:c r="A62" s="9" t="n">
        <x:v>45943</x:v>
      </x:c>
      <x:c r="B62" s="10" t="s">
        <x:v>92</x:v>
      </x:c>
      <x:c r="C62" s="10" t="s">
        <x:v>96</x:v>
      </x:c>
      <x:c r="D62" s="10" t="s">
        <x:v>74</x:v>
      </x:c>
      <x:c r="E62" s="10" t="s">
        <x:v>75</x:v>
      </x:c>
      <x:c r="F62" s="11" t="n">
        <x:v>1146</x:v>
      </x:c>
      <x:c r="G62" s="11" t="n">
        <x:v>1563</x:v>
      </x:c>
      <x:c r="H62" s="10" t="s">
        <x:v>83</x:v>
      </x:c>
      <x:c r="I62" t="n">
        <x:v>4.7</x:v>
      </x:c>
      <x:c r="J62" t="n">
        <x:v>542</x:v>
      </x:c>
    </x:row>
    <x:row r="63" ht="15" hidden="0">
      <x:c r="A63" s="9" t="n">
        <x:v>45943</x:v>
      </x:c>
      <x:c r="B63" s="10" t="s">
        <x:v>92</x:v>
      </x:c>
      <x:c r="C63" s="10" t="s">
        <x:v>96</x:v>
      </x:c>
      <x:c r="D63" s="10" t="s">
        <x:v>77</x:v>
      </x:c>
      <x:c r="E63" s="10" t="s">
        <x:v>78</x:v>
      </x:c>
      <x:c r="F63" s="11" t="n">
        <x:v>1005</x:v>
      </x:c>
      <x:c r="G63" s="11" t="n">
        <x:v>1189</x:v>
      </x:c>
      <x:c r="H63" s="10" t="s">
        <x:v>83</x:v>
      </x:c>
      <x:c r="I63" t="n">
        <x:v>3.8</x:v>
      </x:c>
      <x:c r="J63" t="n">
        <x:v>4476</x:v>
      </x:c>
    </x:row>
    <x:row r="64" ht="15" hidden="0">
      <x:c r="A64" s="9" t="n">
        <x:v>45943</x:v>
      </x:c>
      <x:c r="B64" s="10" t="s">
        <x:v>92</x:v>
      </x:c>
      <x:c r="C64" s="10" t="s">
        <x:v>96</x:v>
      </x:c>
      <x:c r="D64" s="10" t="s">
        <x:v>80</x:v>
      </x:c>
      <x:c r="E64" s="10" t="s">
        <x:v>82</x:v>
      </x:c>
      <x:c r="F64" s="11" t="n">
        <x:v>1044</x:v>
      </x:c>
      <x:c r="G64" s="11" t="n">
        <x:v>1355</x:v>
      </x:c>
      <x:c r="H64" s="10" t="s">
        <x:v>79</x:v>
      </x:c>
      <x:c r="I64" t="n">
        <x:v>4.6</x:v>
      </x:c>
      <x:c r="J64" t="n">
        <x:v>4453</x:v>
      </x:c>
    </x:row>
    <x:row r="65" ht="15" hidden="0">
      <x:c r="A65" s="9" t="n">
        <x:v>45943</x:v>
      </x:c>
      <x:c r="B65" s="10" t="s">
        <x:v>92</x:v>
      </x:c>
      <x:c r="C65" s="10" t="s">
        <x:v>96</x:v>
      </x:c>
      <x:c r="D65" s="10" t="s">
        <x:v>81</x:v>
      </x:c>
      <x:c r="E65" s="10" t="s">
        <x:v>82</x:v>
      </x:c>
      <x:c r="F65" s="11" t="n">
        <x:v>1131</x:v>
      </x:c>
      <x:c r="G65" s="11" t="n">
        <x:v>1225</x:v>
      </x:c>
      <x:c r="H65" s="10" t="s">
        <x:v>83</x:v>
      </x:c>
      <x:c r="I65" t="n">
        <x:v>4</x:v>
      </x:c>
      <x:c r="J65" t="n">
        <x:v>5086</x:v>
      </x:c>
    </x:row>
    <x:row r="66" ht="15" hidden="0">
      <x:c r="A66" s="9" t="n">
        <x:v>45943</x:v>
      </x:c>
      <x:c r="B66" s="10" t="s">
        <x:v>97</x:v>
      </x:c>
      <x:c r="C66" s="10" t="s">
        <x:v>98</x:v>
      </x:c>
      <x:c r="D66" s="10" t="s">
        <x:v>74</x:v>
      </x:c>
      <x:c r="E66" s="10" t="s">
        <x:v>82</x:v>
      </x:c>
      <x:c r="F66" s="11" t="n">
        <x:v>1390</x:v>
      </x:c>
      <x:c r="G66" s="11" t="n">
        <x:v>1648</x:v>
      </x:c>
      <x:c r="H66" s="10" t="s">
        <x:v>79</x:v>
      </x:c>
      <x:c r="I66" t="n">
        <x:v>4.1</x:v>
      </x:c>
      <x:c r="J66" t="n">
        <x:v>12619</x:v>
      </x:c>
    </x:row>
    <x:row r="67" ht="15" hidden="0">
      <x:c r="A67" s="9" t="n">
        <x:v>45943</x:v>
      </x:c>
      <x:c r="B67" s="10" t="s">
        <x:v>97</x:v>
      </x:c>
      <x:c r="C67" s="10" t="s">
        <x:v>98</x:v>
      </x:c>
      <x:c r="D67" s="10" t="s">
        <x:v>77</x:v>
      </x:c>
      <x:c r="E67" s="10" t="s">
        <x:v>78</x:v>
      </x:c>
      <x:c r="F67" s="11" t="n">
        <x:v>1194</x:v>
      </x:c>
      <x:c r="G67" s="11" t="n">
        <x:v>1353</x:v>
      </x:c>
      <x:c r="H67" s="10" t="s">
        <x:v>79</x:v>
      </x:c>
      <x:c r="I67" t="n">
        <x:v>4.2</x:v>
      </x:c>
      <x:c r="J67" t="n">
        <x:v>4128</x:v>
      </x:c>
    </x:row>
    <x:row r="68" ht="15" hidden="0">
      <x:c r="A68" s="9" t="n">
        <x:v>45943</x:v>
      </x:c>
      <x:c r="B68" s="10" t="s">
        <x:v>97</x:v>
      </x:c>
      <x:c r="C68" s="10" t="s">
        <x:v>98</x:v>
      </x:c>
      <x:c r="D68" s="10" t="s">
        <x:v>80</x:v>
      </x:c>
      <x:c r="E68" s="10" t="s">
        <x:v>78</x:v>
      </x:c>
      <x:c r="F68" s="11" t="n">
        <x:v>1532</x:v>
      </x:c>
      <x:c r="G68" s="11" t="n">
        <x:v>1646</x:v>
      </x:c>
      <x:c r="H68" s="10" t="s">
        <x:v>83</x:v>
      </x:c>
      <x:c r="I68" t="n">
        <x:v>3.6</x:v>
      </x:c>
      <x:c r="J68" t="n">
        <x:v>16854</x:v>
      </x:c>
    </x:row>
    <x:row r="69" ht="15" hidden="0">
      <x:c r="A69" s="9" t="n">
        <x:v>45943</x:v>
      </x:c>
      <x:c r="B69" s="10" t="s">
        <x:v>97</x:v>
      </x:c>
      <x:c r="C69" s="10" t="s">
        <x:v>98</x:v>
      </x:c>
      <x:c r="D69" s="10" t="s">
        <x:v>81</x:v>
      </x:c>
      <x:c r="E69" s="10" t="s">
        <x:v>78</x:v>
      </x:c>
      <x:c r="F69" s="11" t="n">
        <x:v>1380</x:v>
      </x:c>
      <x:c r="G69" s="11" t="n">
        <x:v>1893</x:v>
      </x:c>
      <x:c r="H69" s="10" t="s">
        <x:v>83</x:v>
      </x:c>
      <x:c r="I69" t="n">
        <x:v>3.7</x:v>
      </x:c>
      <x:c r="J69" t="n">
        <x:v>9174</x:v>
      </x:c>
    </x:row>
    <x:row r="70" ht="15" hidden="0">
      <x:c r="A70" s="9" t="n">
        <x:v>45978</x:v>
      </x:c>
      <x:c r="B70" s="10" t="s">
        <x:v>88</x:v>
      </x:c>
      <x:c r="C70" s="10" t="s">
        <x:v>89</x:v>
      </x:c>
      <x:c r="D70" s="10" t="s">
        <x:v>74</x:v>
      </x:c>
      <x:c r="E70" s="10" t="s">
        <x:v>75</x:v>
      </x:c>
      <x:c r="F70" s="11" t="n">
        <x:v>1230</x:v>
      </x:c>
      <x:c r="G70" s="11" t="n">
        <x:v>1709</x:v>
      </x:c>
      <x:c r="H70" s="10" t="s">
        <x:v>76</x:v>
      </x:c>
      <x:c r="I70" t="n">
        <x:v>3.5</x:v>
      </x:c>
      <x:c r="J70" t="n">
        <x:v>13977</x:v>
      </x:c>
    </x:row>
    <x:row r="71" ht="15" hidden="0">
      <x:c r="A71" s="9" t="n">
        <x:v>45978</x:v>
      </x:c>
      <x:c r="B71" s="10" t="s">
        <x:v>88</x:v>
      </x:c>
      <x:c r="C71" s="10" t="s">
        <x:v>89</x:v>
      </x:c>
      <x:c r="D71" s="10" t="s">
        <x:v>77</x:v>
      </x:c>
      <x:c r="E71" s="10" t="s">
        <x:v>82</x:v>
      </x:c>
      <x:c r="F71" s="11" t="n">
        <x:v>1274</x:v>
      </x:c>
      <x:c r="G71" s="11" t="n">
        <x:v>1389</x:v>
      </x:c>
      <x:c r="H71" s="10" t="s">
        <x:v>83</x:v>
      </x:c>
      <x:c r="I71" t="n">
        <x:v>3.5</x:v>
      </x:c>
      <x:c r="J71" t="n">
        <x:v>5311</x:v>
      </x:c>
    </x:row>
    <x:row r="72" ht="15" hidden="0">
      <x:c r="A72" s="9" t="n">
        <x:v>45978</x:v>
      </x:c>
      <x:c r="B72" s="10" t="s">
        <x:v>88</x:v>
      </x:c>
      <x:c r="C72" s="10" t="s">
        <x:v>89</x:v>
      </x:c>
      <x:c r="D72" s="10" t="s">
        <x:v>80</x:v>
      </x:c>
      <x:c r="E72" s="10" t="s">
        <x:v>75</x:v>
      </x:c>
      <x:c r="F72" s="11" t="n">
        <x:v>1534</x:v>
      </x:c>
      <x:c r="G72" s="11" t="n">
        <x:v>1660</x:v>
      </x:c>
      <x:c r="H72" s="10" t="s">
        <x:v>76</x:v>
      </x:c>
      <x:c r="I72" t="n">
        <x:v>4.5</x:v>
      </x:c>
      <x:c r="J72" t="n">
        <x:v>19447</x:v>
      </x:c>
    </x:row>
    <x:row r="73" ht="15" hidden="0">
      <x:c r="A73" s="9" t="n">
        <x:v>45978</x:v>
      </x:c>
      <x:c r="B73" s="10" t="s">
        <x:v>88</x:v>
      </x:c>
      <x:c r="C73" s="10" t="s">
        <x:v>89</x:v>
      </x:c>
      <x:c r="D73" s="10" t="s">
        <x:v>81</x:v>
      </x:c>
      <x:c r="E73" s="10" t="s">
        <x:v>75</x:v>
      </x:c>
      <x:c r="F73" s="11" t="n">
        <x:v>1400</x:v>
      </x:c>
      <x:c r="G73" s="11" t="n">
        <x:v>1967</x:v>
      </x:c>
      <x:c r="H73" s="10" t="s">
        <x:v>83</x:v>
      </x:c>
      <x:c r="I73" t="n">
        <x:v>4.6</x:v>
      </x:c>
      <x:c r="J73" t="n">
        <x:v>846</x:v>
      </x:c>
    </x:row>
    <x:row r="74" ht="15" hidden="0">
      <x:c r="A74" s="9" t="n">
        <x:v>46006</x:v>
      </x:c>
      <x:c r="B74" s="10" t="s">
        <x:v>92</x:v>
      </x:c>
      <x:c r="C74" s="10" t="s">
        <x:v>94</x:v>
      </x:c>
      <x:c r="D74" s="10" t="s">
        <x:v>74</x:v>
      </x:c>
      <x:c r="E74" s="10" t="s">
        <x:v>78</x:v>
      </x:c>
      <x:c r="F74" s="11" t="n">
        <x:v>899</x:v>
      </x:c>
      <x:c r="G74" s="11" t="n">
        <x:v>1332</x:v>
      </x:c>
      <x:c r="H74" s="10" t="s">
        <x:v>76</x:v>
      </x:c>
      <x:c r="I74" t="n">
        <x:v>3.8</x:v>
      </x:c>
      <x:c r="J74" t="n">
        <x:v>18834</x:v>
      </x:c>
    </x:row>
    <x:row r="75" ht="15" hidden="0">
      <x:c r="A75" s="9" t="n">
        <x:v>46006</x:v>
      </x:c>
      <x:c r="B75" s="10" t="s">
        <x:v>92</x:v>
      </x:c>
      <x:c r="C75" s="10" t="s">
        <x:v>94</x:v>
      </x:c>
      <x:c r="D75" s="10" t="s">
        <x:v>77</x:v>
      </x:c>
      <x:c r="E75" s="10" t="s">
        <x:v>78</x:v>
      </x:c>
      <x:c r="F75" s="11" t="n">
        <x:v>828</x:v>
      </x:c>
      <x:c r="G75" s="11" t="n">
        <x:v>1014</x:v>
      </x:c>
      <x:c r="H75" s="10" t="s">
        <x:v>79</x:v>
      </x:c>
      <x:c r="I75" t="n">
        <x:v>3.9</x:v>
      </x:c>
      <x:c r="J75" t="n">
        <x:v>10152</x:v>
      </x:c>
    </x:row>
    <x:row r="76" ht="15" hidden="0">
      <x:c r="A76" s="9" t="n">
        <x:v>46006</x:v>
      </x:c>
      <x:c r="B76" s="10" t="s">
        <x:v>92</x:v>
      </x:c>
      <x:c r="C76" s="10" t="s">
        <x:v>94</x:v>
      </x:c>
      <x:c r="D76" s="10" t="s">
        <x:v>80</x:v>
      </x:c>
      <x:c r="E76" s="10" t="s">
        <x:v>82</x:v>
      </x:c>
      <x:c r="F76" s="11" t="n">
        <x:v>727</x:v>
      </x:c>
      <x:c r="G76" s="11" t="n">
        <x:v>936</x:v>
      </x:c>
      <x:c r="H76" s="10" t="s">
        <x:v>76</x:v>
      </x:c>
      <x:c r="I76" t="n">
        <x:v>4.3</x:v>
      </x:c>
      <x:c r="J76" t="n">
        <x:v>9824</x:v>
      </x:c>
    </x:row>
    <x:row r="77" ht="15" hidden="0">
      <x:c r="A77" s="9" t="n">
        <x:v>46006</x:v>
      </x:c>
      <x:c r="B77" s="10" t="s">
        <x:v>92</x:v>
      </x:c>
      <x:c r="C77" s="10" t="s">
        <x:v>94</x:v>
      </x:c>
      <x:c r="D77" s="10" t="s">
        <x:v>81</x:v>
      </x:c>
      <x:c r="E77" s="10" t="s">
        <x:v>82</x:v>
      </x:c>
      <x:c r="F77" s="11" t="n">
        <x:v>796</x:v>
      </x:c>
      <x:c r="G77" s="11" t="n">
        <x:v>1098</x:v>
      </x:c>
      <x:c r="H77" s="10" t="s">
        <x:v>83</x:v>
      </x:c>
      <x:c r="I77" t="n">
        <x:v>3.7</x:v>
      </x:c>
      <x:c r="J77" t="n">
        <x:v>19186</x:v>
      </x:c>
    </x:row>
    <x:row r="78" ht="15" hidden="0">
      <x:c r="A78" s="9" t="n">
        <x:v>46006</x:v>
      </x:c>
      <x:c r="B78" s="10" t="s">
        <x:v>72</x:v>
      </x:c>
      <x:c r="C78" s="10" t="s">
        <x:v>90</x:v>
      </x:c>
      <x:c r="D78" s="10" t="s">
        <x:v>74</x:v>
      </x:c>
      <x:c r="E78" s="10" t="s">
        <x:v>82</x:v>
      </x:c>
      <x:c r="F78" s="11" t="n">
        <x:v>2040</x:v>
      </x:c>
      <x:c r="G78" s="11" t="n">
        <x:v>2680</x:v>
      </x:c>
      <x:c r="H78" s="10" t="s">
        <x:v>76</x:v>
      </x:c>
      <x:c r="I78" t="n">
        <x:v>3.6</x:v>
      </x:c>
      <x:c r="J78" t="n">
        <x:v>18005</x:v>
      </x:c>
    </x:row>
    <x:row r="79" ht="15" hidden="0">
      <x:c r="A79" s="9" t="n">
        <x:v>46006</x:v>
      </x:c>
      <x:c r="B79" s="10" t="s">
        <x:v>72</x:v>
      </x:c>
      <x:c r="C79" s="10" t="s">
        <x:v>90</x:v>
      </x:c>
      <x:c r="D79" s="10" t="s">
        <x:v>77</x:v>
      </x:c>
      <x:c r="E79" s="10" t="s">
        <x:v>82</x:v>
      </x:c>
      <x:c r="F79" s="11" t="n">
        <x:v>1924</x:v>
      </x:c>
      <x:c r="G79" s="11" t="n">
        <x:v>2313</x:v>
      </x:c>
      <x:c r="H79" s="10" t="s">
        <x:v>83</x:v>
      </x:c>
      <x:c r="I79" t="n">
        <x:v>3.4</x:v>
      </x:c>
      <x:c r="J79" t="n">
        <x:v>3531</x:v>
      </x:c>
    </x:row>
    <x:row r="80" ht="15" hidden="0">
      <x:c r="A80" s="9" t="n">
        <x:v>46006</x:v>
      </x:c>
      <x:c r="B80" s="10" t="s">
        <x:v>72</x:v>
      </x:c>
      <x:c r="C80" s="10" t="s">
        <x:v>90</x:v>
      </x:c>
      <x:c r="D80" s="10" t="s">
        <x:v>80</x:v>
      </x:c>
      <x:c r="E80" s="10" t="s">
        <x:v>75</x:v>
      </x:c>
      <x:c r="F80" s="11" t="n">
        <x:v>2112</x:v>
      </x:c>
      <x:c r="G80" s="11" t="n">
        <x:v>2984</x:v>
      </x:c>
      <x:c r="H80" s="10" t="s">
        <x:v>83</x:v>
      </x:c>
      <x:c r="I80" t="n">
        <x:v>3.9</x:v>
      </x:c>
      <x:c r="J80" t="n">
        <x:v>19681</x:v>
      </x:c>
    </x:row>
    <x:row r="81" ht="15" hidden="0">
      <x:c r="A81" s="9" t="n">
        <x:v>46006</x:v>
      </x:c>
      <x:c r="B81" s="10" t="s">
        <x:v>72</x:v>
      </x:c>
      <x:c r="C81" s="10" t="s">
        <x:v>90</x:v>
      </x:c>
      <x:c r="D81" s="10" t="s">
        <x:v>81</x:v>
      </x:c>
      <x:c r="E81" s="10" t="s">
        <x:v>78</x:v>
      </x:c>
      <x:c r="F81" s="11" t="n">
        <x:v>1998</x:v>
      </x:c>
      <x:c r="G81" s="11" t="n">
        <x:v>2882</x:v>
      </x:c>
      <x:c r="H81" s="10" t="s">
        <x:v>76</x:v>
      </x:c>
      <x:c r="I81" t="n">
        <x:v>3.6</x:v>
      </x:c>
      <x:c r="J81" t="n">
        <x:v>2896</x:v>
      </x:c>
    </x:row>
    <x:row r="82" ht="15" hidden="0">
      <x:c r="A82" s="9" t="n">
        <x:v>46062</x:v>
      </x:c>
      <x:c r="B82" s="10" t="s">
        <x:v>88</x:v>
      </x:c>
      <x:c r="C82" s="10" t="s">
        <x:v>99</x:v>
      </x:c>
      <x:c r="D82" s="10" t="s">
        <x:v>74</x:v>
      </x:c>
      <x:c r="E82" s="10" t="s">
        <x:v>75</x:v>
      </x:c>
      <x:c r="F82" s="11" t="n">
        <x:v>734</x:v>
      </x:c>
      <x:c r="G82" s="11" t="n">
        <x:v>923</x:v>
      </x:c>
      <x:c r="H82" s="10" t="s">
        <x:v>83</x:v>
      </x:c>
      <x:c r="I82" t="n">
        <x:v>3.6</x:v>
      </x:c>
      <x:c r="J82" t="n">
        <x:v>4567</x:v>
      </x:c>
    </x:row>
    <x:row r="83" ht="15" hidden="0">
      <x:c r="A83" s="9" t="n">
        <x:v>46062</x:v>
      </x:c>
      <x:c r="B83" s="10" t="s">
        <x:v>88</x:v>
      </x:c>
      <x:c r="C83" s="10" t="s">
        <x:v>99</x:v>
      </x:c>
      <x:c r="D83" s="10" t="s">
        <x:v>77</x:v>
      </x:c>
      <x:c r="E83" s="10" t="s">
        <x:v>78</x:v>
      </x:c>
      <x:c r="F83" s="11" t="n">
        <x:v>891</x:v>
      </x:c>
      <x:c r="G83" s="11" t="n">
        <x:v>1112</x:v>
      </x:c>
      <x:c r="H83" s="10" t="s">
        <x:v>83</x:v>
      </x:c>
      <x:c r="I83" t="n">
        <x:v>4.3</x:v>
      </x:c>
      <x:c r="J83" t="n">
        <x:v>8849</x:v>
      </x:c>
    </x:row>
    <x:row r="84" ht="15" hidden="0">
      <x:c r="A84" s="9" t="n">
        <x:v>46062</x:v>
      </x:c>
      <x:c r="B84" s="10" t="s">
        <x:v>88</x:v>
      </x:c>
      <x:c r="C84" s="10" t="s">
        <x:v>99</x:v>
      </x:c>
      <x:c r="D84" s="10" t="s">
        <x:v>80</x:v>
      </x:c>
      <x:c r="E84" s="10" t="s">
        <x:v>82</x:v>
      </x:c>
      <x:c r="F84" s="11" t="n">
        <x:v>804</x:v>
      </x:c>
      <x:c r="G84" s="11" t="n">
        <x:v>1188</x:v>
      </x:c>
      <x:c r="H84" s="10" t="s">
        <x:v>76</x:v>
      </x:c>
      <x:c r="I84" t="n">
        <x:v>4.2</x:v>
      </x:c>
      <x:c r="J84" t="n">
        <x:v>640</x:v>
      </x:c>
    </x:row>
    <x:row r="85" ht="15" hidden="0">
      <x:c r="A85" s="9" t="n">
        <x:v>46062</x:v>
      </x:c>
      <x:c r="B85" s="10" t="s">
        <x:v>88</x:v>
      </x:c>
      <x:c r="C85" s="10" t="s">
        <x:v>99</x:v>
      </x:c>
      <x:c r="D85" s="10" t="s">
        <x:v>81</x:v>
      </x:c>
      <x:c r="E85" s="10" t="s">
        <x:v>78</x:v>
      </x:c>
      <x:c r="F85" s="11" t="n">
        <x:v>877</x:v>
      </x:c>
      <x:c r="G85" s="11" t="n">
        <x:v>1180</x:v>
      </x:c>
      <x:c r="H85" s="10" t="s">
        <x:v>83</x:v>
      </x:c>
      <x:c r="I85" t="n">
        <x:v>4.5</x:v>
      </x:c>
      <x:c r="J85" t="n">
        <x:v>14915</x:v>
      </x:c>
    </x:row>
    <x:row r="86" ht="15" hidden="0">
      <x:c r="A86" s="9" t="n">
        <x:v>46020</x:v>
      </x:c>
      <x:c r="B86" s="10" t="s">
        <x:v>72</x:v>
      </x:c>
      <x:c r="C86" s="10" t="s">
        <x:v>100</x:v>
      </x:c>
      <x:c r="D86" s="10" t="s">
        <x:v>74</x:v>
      </x:c>
      <x:c r="E86" s="10" t="s">
        <x:v>78</x:v>
      </x:c>
      <x:c r="F86" s="11" t="n">
        <x:v>1973</x:v>
      </x:c>
      <x:c r="G86" s="11" t="n">
        <x:v>2343</x:v>
      </x:c>
      <x:c r="H86" s="10" t="s">
        <x:v>83</x:v>
      </x:c>
      <x:c r="I86" t="n">
        <x:v>3.8</x:v>
      </x:c>
      <x:c r="J86" t="n">
        <x:v>8102</x:v>
      </x:c>
    </x:row>
    <x:row r="87" ht="15" hidden="0">
      <x:c r="A87" s="9" t="n">
        <x:v>46020</x:v>
      </x:c>
      <x:c r="B87" s="10" t="s">
        <x:v>72</x:v>
      </x:c>
      <x:c r="C87" s="10" t="s">
        <x:v>100</x:v>
      </x:c>
      <x:c r="D87" s="10" t="s">
        <x:v>77</x:v>
      </x:c>
      <x:c r="E87" s="10" t="s">
        <x:v>78</x:v>
      </x:c>
      <x:c r="F87" s="11" t="n">
        <x:v>1756</x:v>
      </x:c>
      <x:c r="G87" s="11" t="n">
        <x:v>2362</x:v>
      </x:c>
      <x:c r="H87" s="10" t="s">
        <x:v>83</x:v>
      </x:c>
      <x:c r="I87" t="n">
        <x:v>4.4</x:v>
      </x:c>
      <x:c r="J87" t="n">
        <x:v>17500</x:v>
      </x:c>
    </x:row>
    <x:row r="88" ht="15" hidden="0">
      <x:c r="A88" s="9" t="n">
        <x:v>46020</x:v>
      </x:c>
      <x:c r="B88" s="10" t="s">
        <x:v>72</x:v>
      </x:c>
      <x:c r="C88" s="10" t="s">
        <x:v>100</x:v>
      </x:c>
      <x:c r="D88" s="10" t="s">
        <x:v>80</x:v>
      </x:c>
      <x:c r="E88" s="10" t="s">
        <x:v>78</x:v>
      </x:c>
      <x:c r="F88" s="11" t="n">
        <x:v>1702</x:v>
      </x:c>
      <x:c r="G88" s="11" t="n">
        <x:v>1887</x:v>
      </x:c>
      <x:c r="H88" s="10" t="s">
        <x:v>83</x:v>
      </x:c>
      <x:c r="I88" t="n">
        <x:v>4</x:v>
      </x:c>
      <x:c r="J88" t="n">
        <x:v>2496</x:v>
      </x:c>
    </x:row>
    <x:row r="89" ht="15" hidden="0">
      <x:c r="A89" s="9" t="n">
        <x:v>46020</x:v>
      </x:c>
      <x:c r="B89" s="10" t="s">
        <x:v>72</x:v>
      </x:c>
      <x:c r="C89" s="10" t="s">
        <x:v>100</x:v>
      </x:c>
      <x:c r="D89" s="10" t="s">
        <x:v>81</x:v>
      </x:c>
      <x:c r="E89" s="10" t="s">
        <x:v>78</x:v>
      </x:c>
      <x:c r="F89" s="11" t="n">
        <x:v>1900</x:v>
      </x:c>
      <x:c r="G89" s="11" t="n">
        <x:v>2062</x:v>
      </x:c>
      <x:c r="H89" s="10" t="s">
        <x:v>83</x:v>
      </x:c>
      <x:c r="I89" t="n">
        <x:v>4.5</x:v>
      </x:c>
      <x:c r="J89" t="n">
        <x:v>610</x:v>
      </x:c>
    </x:row>
    <x:row r="90" ht="15" hidden="0">
      <x:c r="A90" s="9" t="n">
        <x:v>46041</x:v>
      </x:c>
      <x:c r="B90" s="10" t="s">
        <x:v>88</x:v>
      </x:c>
      <x:c r="C90" s="10" t="s">
        <x:v>89</x:v>
      </x:c>
      <x:c r="D90" s="10" t="s">
        <x:v>74</x:v>
      </x:c>
      <x:c r="E90" s="10" t="s">
        <x:v>75</x:v>
      </x:c>
      <x:c r="F90" s="11" t="n">
        <x:v>2649</x:v>
      </x:c>
      <x:c r="G90" s="11" t="n">
        <x:v>3480</x:v>
      </x:c>
      <x:c r="H90" s="10" t="s">
        <x:v>83</x:v>
      </x:c>
      <x:c r="I90" t="n">
        <x:v>4.6</x:v>
      </x:c>
      <x:c r="J90" t="n">
        <x:v>17095</x:v>
      </x:c>
    </x:row>
    <x:row r="91" ht="15" hidden="0">
      <x:c r="A91" s="9" t="n">
        <x:v>46041</x:v>
      </x:c>
      <x:c r="B91" s="10" t="s">
        <x:v>88</x:v>
      </x:c>
      <x:c r="C91" s="10" t="s">
        <x:v>89</x:v>
      </x:c>
      <x:c r="D91" s="10" t="s">
        <x:v>77</x:v>
      </x:c>
      <x:c r="E91" s="10" t="s">
        <x:v>82</x:v>
      </x:c>
      <x:c r="F91" s="11" t="n">
        <x:v>2280</x:v>
      </x:c>
      <x:c r="G91" s="11" t="n">
        <x:v>3155</x:v>
      </x:c>
      <x:c r="H91" s="10" t="s">
        <x:v>83</x:v>
      </x:c>
      <x:c r="I91" t="n">
        <x:v>3.6</x:v>
      </x:c>
      <x:c r="J91" t="n">
        <x:v>16128</x:v>
      </x:c>
    </x:row>
    <x:row r="92" ht="15" hidden="0">
      <x:c r="A92" s="9" t="n">
        <x:v>46041</x:v>
      </x:c>
      <x:c r="B92" s="10" t="s">
        <x:v>88</x:v>
      </x:c>
      <x:c r="C92" s="10" t="s">
        <x:v>89</x:v>
      </x:c>
      <x:c r="D92" s="10" t="s">
        <x:v>80</x:v>
      </x:c>
      <x:c r="E92" s="10" t="s">
        <x:v>82</x:v>
      </x:c>
      <x:c r="F92" s="11" t="n">
        <x:v>2537</x:v>
      </x:c>
      <x:c r="G92" s="11" t="n">
        <x:v>3170</x:v>
      </x:c>
      <x:c r="H92" s="10" t="s">
        <x:v>83</x:v>
      </x:c>
      <x:c r="I92" t="n">
        <x:v>3.7</x:v>
      </x:c>
      <x:c r="J92" t="n">
        <x:v>13637</x:v>
      </x:c>
    </x:row>
    <x:row r="93" ht="15" hidden="0">
      <x:c r="A93" s="9" t="n">
        <x:v>46041</x:v>
      </x:c>
      <x:c r="B93" s="10" t="s">
        <x:v>88</x:v>
      </x:c>
      <x:c r="C93" s="10" t="s">
        <x:v>89</x:v>
      </x:c>
      <x:c r="D93" s="10" t="s">
        <x:v>81</x:v>
      </x:c>
      <x:c r="E93" s="10" t="s">
        <x:v>78</x:v>
      </x:c>
      <x:c r="F93" s="11" t="n">
        <x:v>2271</x:v>
      </x:c>
      <x:c r="G93" s="11" t="n">
        <x:v>2847</x:v>
      </x:c>
      <x:c r="H93" s="10" t="s">
        <x:v>83</x:v>
      </x:c>
      <x:c r="I93" t="n">
        <x:v>4.6</x:v>
      </x:c>
      <x:c r="J93" t="n">
        <x:v>7034</x:v>
      </x:c>
    </x:row>
    <x:row r="94" ht="15" hidden="0">
      <x:c r="A94" s="9" t="n">
        <x:v>45964</x:v>
      </x:c>
      <x:c r="B94" s="10" t="s">
        <x:v>85</x:v>
      </x:c>
      <x:c r="C94" s="10" t="s">
        <x:v>86</x:v>
      </x:c>
      <x:c r="D94" s="10" t="s">
        <x:v>74</x:v>
      </x:c>
      <x:c r="E94" s="10" t="s">
        <x:v>82</x:v>
      </x:c>
      <x:c r="F94" s="11" t="n">
        <x:v>290</x:v>
      </x:c>
      <x:c r="G94" s="11" t="n">
        <x:v>353</x:v>
      </x:c>
      <x:c r="H94" s="10" t="s">
        <x:v>83</x:v>
      </x:c>
      <x:c r="I94" t="n">
        <x:v>3.9</x:v>
      </x:c>
      <x:c r="J94" t="n">
        <x:v>13158</x:v>
      </x:c>
    </x:row>
    <x:row r="95" ht="15" hidden="0">
      <x:c r="A95" s="9" t="n">
        <x:v>45964</x:v>
      </x:c>
      <x:c r="B95" s="10" t="s">
        <x:v>85</x:v>
      </x:c>
      <x:c r="C95" s="10" t="s">
        <x:v>86</x:v>
      </x:c>
      <x:c r="D95" s="10" t="s">
        <x:v>77</x:v>
      </x:c>
      <x:c r="E95" s="10" t="s">
        <x:v>75</x:v>
      </x:c>
      <x:c r="F95" s="11" t="n">
        <x:v>281</x:v>
      </x:c>
      <x:c r="G95" s="11" t="n">
        <x:v>362</x:v>
      </x:c>
      <x:c r="H95" s="10" t="s">
        <x:v>79</x:v>
      </x:c>
      <x:c r="I95" t="n">
        <x:v>4.3</x:v>
      </x:c>
      <x:c r="J95" t="n">
        <x:v>14151</x:v>
      </x:c>
    </x:row>
    <x:row r="96" ht="15" hidden="0">
      <x:c r="A96" s="9" t="n">
        <x:v>45964</x:v>
      </x:c>
      <x:c r="B96" s="10" t="s">
        <x:v>85</x:v>
      </x:c>
      <x:c r="C96" s="10" t="s">
        <x:v>86</x:v>
      </x:c>
      <x:c r="D96" s="10" t="s">
        <x:v>80</x:v>
      </x:c>
      <x:c r="E96" s="10" t="s">
        <x:v>75</x:v>
      </x:c>
      <x:c r="F96" s="11" t="n">
        <x:v>299</x:v>
      </x:c>
      <x:c r="G96" s="11" t="n">
        <x:v>362</x:v>
      </x:c>
      <x:c r="H96" s="10" t="s">
        <x:v>76</x:v>
      </x:c>
      <x:c r="I96" t="n">
        <x:v>4</x:v>
      </x:c>
      <x:c r="J96" t="n">
        <x:v>227</x:v>
      </x:c>
    </x:row>
    <x:row r="97" ht="15" hidden="0">
      <x:c r="A97" s="9" t="n">
        <x:v>45964</x:v>
      </x:c>
      <x:c r="B97" s="10" t="s">
        <x:v>85</x:v>
      </x:c>
      <x:c r="C97" s="10" t="s">
        <x:v>86</x:v>
      </x:c>
      <x:c r="D97" s="10" t="s">
        <x:v>81</x:v>
      </x:c>
      <x:c r="E97" s="10" t="s">
        <x:v>78</x:v>
      </x:c>
      <x:c r="F97" s="11" t="n">
        <x:v>273</x:v>
      </x:c>
      <x:c r="G97" s="11" t="n">
        <x:v>397</x:v>
      </x:c>
      <x:c r="H97" s="10" t="s">
        <x:v>83</x:v>
      </x:c>
      <x:c r="I97" t="n">
        <x:v>4.7</x:v>
      </x:c>
      <x:c r="J97" t="n">
        <x:v>12545</x:v>
      </x:c>
    </x:row>
    <x:row r="98" ht="15" hidden="0">
      <x:c r="A98" s="9" t="n">
        <x:v>46069</x:v>
      </x:c>
      <x:c r="B98" s="10" t="s">
        <x:v>88</x:v>
      </x:c>
      <x:c r="C98" s="10" t="s">
        <x:v>89</x:v>
      </x:c>
      <x:c r="D98" s="10" t="s">
        <x:v>74</x:v>
      </x:c>
      <x:c r="E98" s="10" t="s">
        <x:v>78</x:v>
      </x:c>
      <x:c r="F98" s="11" t="n">
        <x:v>2110</x:v>
      </x:c>
      <x:c r="G98" s="11" t="n">
        <x:v>3067</x:v>
      </x:c>
      <x:c r="H98" s="10" t="s">
        <x:v>83</x:v>
      </x:c>
      <x:c r="I98" t="n">
        <x:v>3.8</x:v>
      </x:c>
      <x:c r="J98" t="n">
        <x:v>5395</x:v>
      </x:c>
    </x:row>
    <x:row r="99" ht="15" hidden="0">
      <x:c r="A99" s="9" t="n">
        <x:v>46069</x:v>
      </x:c>
      <x:c r="B99" s="10" t="s">
        <x:v>88</x:v>
      </x:c>
      <x:c r="C99" s="10" t="s">
        <x:v>89</x:v>
      </x:c>
      <x:c r="D99" s="10" t="s">
        <x:v>77</x:v>
      </x:c>
      <x:c r="E99" s="10" t="s">
        <x:v>75</x:v>
      </x:c>
      <x:c r="F99" s="11" t="n">
        <x:v>2161</x:v>
      </x:c>
      <x:c r="G99" s="11" t="n">
        <x:v>3237</x:v>
      </x:c>
      <x:c r="H99" s="10" t="s">
        <x:v>76</x:v>
      </x:c>
      <x:c r="I99" t="n">
        <x:v>4.7</x:v>
      </x:c>
      <x:c r="J99" t="n">
        <x:v>12504</x:v>
      </x:c>
    </x:row>
    <x:row r="100" ht="15" hidden="0">
      <x:c r="A100" s="9" t="n">
        <x:v>46069</x:v>
      </x:c>
      <x:c r="B100" s="10" t="s">
        <x:v>88</x:v>
      </x:c>
      <x:c r="C100" s="10" t="s">
        <x:v>89</x:v>
      </x:c>
      <x:c r="D100" s="10" t="s">
        <x:v>80</x:v>
      </x:c>
      <x:c r="E100" s="10" t="s">
        <x:v>75</x:v>
      </x:c>
      <x:c r="F100" s="11" t="n">
        <x:v>1859</x:v>
      </x:c>
      <x:c r="G100" s="11" t="n">
        <x:v>1990</x:v>
      </x:c>
      <x:c r="H100" s="10" t="s">
        <x:v>79</x:v>
      </x:c>
      <x:c r="I100" t="n">
        <x:v>3.5</x:v>
      </x:c>
      <x:c r="J100" t="n">
        <x:v>1988</x:v>
      </x:c>
    </x:row>
    <x:row r="101" ht="15" hidden="0">
      <x:c r="A101" s="9" t="n">
        <x:v>46069</x:v>
      </x:c>
      <x:c r="B101" s="10" t="s">
        <x:v>88</x:v>
      </x:c>
      <x:c r="C101" s="10" t="s">
        <x:v>89</x:v>
      </x:c>
      <x:c r="D101" s="10" t="s">
        <x:v>81</x:v>
      </x:c>
      <x:c r="E101" s="10" t="s">
        <x:v>78</x:v>
      </x:c>
      <x:c r="F101" s="11" t="n">
        <x:v>2369</x:v>
      </x:c>
      <x:c r="G101" s="11" t="n">
        <x:v>3430</x:v>
      </x:c>
      <x:c r="H101" s="10" t="s">
        <x:v>79</x:v>
      </x:c>
      <x:c r="I101" t="n">
        <x:v>4.2</x:v>
      </x:c>
      <x:c r="J101" t="n">
        <x:v>6076</x:v>
      </x:c>
    </x:row>
    <x:row r="102" ht="15" hidden="0">
      <x:c r="A102" s="9" t="n">
        <x:v>46006</x:v>
      </x:c>
      <x:c r="B102" s="10" t="s">
        <x:v>88</x:v>
      </x:c>
      <x:c r="C102" s="10" t="s">
        <x:v>91</x:v>
      </x:c>
      <x:c r="D102" s="10" t="s">
        <x:v>74</x:v>
      </x:c>
      <x:c r="E102" s="10" t="s">
        <x:v>75</x:v>
      </x:c>
      <x:c r="F102" s="11" t="n">
        <x:v>371</x:v>
      </x:c>
      <x:c r="G102" s="11" t="n">
        <x:v>555</x:v>
      </x:c>
      <x:c r="H102" s="10" t="s">
        <x:v>79</x:v>
      </x:c>
      <x:c r="I102" t="n">
        <x:v>4.7</x:v>
      </x:c>
      <x:c r="J102" t="n">
        <x:v>16705</x:v>
      </x:c>
    </x:row>
    <x:row r="103" ht="15" hidden="0">
      <x:c r="A103" s="9" t="n">
        <x:v>46006</x:v>
      </x:c>
      <x:c r="B103" s="10" t="s">
        <x:v>88</x:v>
      </x:c>
      <x:c r="C103" s="10" t="s">
        <x:v>91</x:v>
      </x:c>
      <x:c r="D103" s="10" t="s">
        <x:v>77</x:v>
      </x:c>
      <x:c r="E103" s="10" t="s">
        <x:v>75</x:v>
      </x:c>
      <x:c r="F103" s="11" t="n">
        <x:v>345</x:v>
      </x:c>
      <x:c r="G103" s="11" t="n">
        <x:v>475</x:v>
      </x:c>
      <x:c r="H103" s="10" t="s">
        <x:v>79</x:v>
      </x:c>
      <x:c r="I103" t="n">
        <x:v>3.9</x:v>
      </x:c>
      <x:c r="J103" t="n">
        <x:v>11907</x:v>
      </x:c>
    </x:row>
    <x:row r="104" ht="15" hidden="0">
      <x:c r="A104" s="9" t="n">
        <x:v>46006</x:v>
      </x:c>
      <x:c r="B104" s="10" t="s">
        <x:v>88</x:v>
      </x:c>
      <x:c r="C104" s="10" t="s">
        <x:v>91</x:v>
      </x:c>
      <x:c r="D104" s="10" t="s">
        <x:v>80</x:v>
      </x:c>
      <x:c r="E104" s="10" t="s">
        <x:v>78</x:v>
      </x:c>
      <x:c r="F104" s="11" t="n">
        <x:v>378</x:v>
      </x:c>
      <x:c r="G104" s="11" t="n">
        <x:v>454</x:v>
      </x:c>
      <x:c r="H104" s="10" t="s">
        <x:v>79</x:v>
      </x:c>
      <x:c r="I104" t="n">
        <x:v>4.3</x:v>
      </x:c>
      <x:c r="J104" t="n">
        <x:v>17889</x:v>
      </x:c>
    </x:row>
    <x:row r="105" ht="15" hidden="0">
      <x:c r="A105" s="9" t="n">
        <x:v>46006</x:v>
      </x:c>
      <x:c r="B105" s="10" t="s">
        <x:v>88</x:v>
      </x:c>
      <x:c r="C105" s="10" t="s">
        <x:v>91</x:v>
      </x:c>
      <x:c r="D105" s="10" t="s">
        <x:v>81</x:v>
      </x:c>
      <x:c r="E105" s="10" t="s">
        <x:v>78</x:v>
      </x:c>
      <x:c r="F105" s="11" t="n">
        <x:v>334</x:v>
      </x:c>
      <x:c r="G105" s="11" t="n">
        <x:v>486</x:v>
      </x:c>
      <x:c r="H105" s="10" t="s">
        <x:v>79</x:v>
      </x:c>
      <x:c r="I105" t="n">
        <x:v>4.4</x:v>
      </x:c>
      <x:c r="J105" t="n">
        <x:v>16540</x:v>
      </x:c>
    </x:row>
    <x:row r="106" ht="15" hidden="0">
      <x:c r="A106" s="9" t="n">
        <x:v>46027</x:v>
      </x:c>
      <x:c r="B106" s="10" t="s">
        <x:v>72</x:v>
      </x:c>
      <x:c r="C106" s="10" t="s">
        <x:v>100</x:v>
      </x:c>
      <x:c r="D106" s="10" t="s">
        <x:v>74</x:v>
      </x:c>
      <x:c r="E106" s="10" t="s">
        <x:v>78</x:v>
      </x:c>
      <x:c r="F106" s="11" t="n">
        <x:v>2162</x:v>
      </x:c>
      <x:c r="G106" s="11" t="n">
        <x:v>2730</x:v>
      </x:c>
      <x:c r="H106" s="10" t="s">
        <x:v>83</x:v>
      </x:c>
      <x:c r="I106" t="n">
        <x:v>3.6</x:v>
      </x:c>
      <x:c r="J106" t="n">
        <x:v>14888</x:v>
      </x:c>
    </x:row>
    <x:row r="107" ht="15" hidden="0">
      <x:c r="A107" s="9" t="n">
        <x:v>46027</x:v>
      </x:c>
      <x:c r="B107" s="10" t="s">
        <x:v>72</x:v>
      </x:c>
      <x:c r="C107" s="10" t="s">
        <x:v>100</x:v>
      </x:c>
      <x:c r="D107" s="10" t="s">
        <x:v>77</x:v>
      </x:c>
      <x:c r="E107" s="10" t="s">
        <x:v>75</x:v>
      </x:c>
      <x:c r="F107" s="11" t="n">
        <x:v>1997</x:v>
      </x:c>
      <x:c r="G107" s="11" t="n">
        <x:v>2658</x:v>
      </x:c>
      <x:c r="H107" s="10" t="s">
        <x:v>76</x:v>
      </x:c>
      <x:c r="I107" t="n">
        <x:v>4.4</x:v>
      </x:c>
      <x:c r="J107" t="n">
        <x:v>6824</x:v>
      </x:c>
    </x:row>
    <x:row r="108" ht="15" hidden="0">
      <x:c r="A108" s="9" t="n">
        <x:v>46027</x:v>
      </x:c>
      <x:c r="B108" s="10" t="s">
        <x:v>72</x:v>
      </x:c>
      <x:c r="C108" s="10" t="s">
        <x:v>100</x:v>
      </x:c>
      <x:c r="D108" s="10" t="s">
        <x:v>80</x:v>
      </x:c>
      <x:c r="E108" s="10" t="s">
        <x:v>82</x:v>
      </x:c>
      <x:c r="F108" s="11" t="n">
        <x:v>2560</x:v>
      </x:c>
      <x:c r="G108" s="11" t="n">
        <x:v>3553</x:v>
      </x:c>
      <x:c r="H108" s="10" t="s">
        <x:v>83</x:v>
      </x:c>
      <x:c r="I108" t="n">
        <x:v>4.1</x:v>
      </x:c>
      <x:c r="J108" t="n">
        <x:v>1811</x:v>
      </x:c>
    </x:row>
    <x:row r="109" ht="15" hidden="0">
      <x:c r="A109" s="9" t="n">
        <x:v>46027</x:v>
      </x:c>
      <x:c r="B109" s="10" t="s">
        <x:v>72</x:v>
      </x:c>
      <x:c r="C109" s="10" t="s">
        <x:v>100</x:v>
      </x:c>
      <x:c r="D109" s="10" t="s">
        <x:v>81</x:v>
      </x:c>
      <x:c r="E109" s="10" t="s">
        <x:v>78</x:v>
      </x:c>
      <x:c r="F109" s="11" t="n">
        <x:v>2058</x:v>
      </x:c>
      <x:c r="G109" s="11" t="n">
        <x:v>2617</x:v>
      </x:c>
      <x:c r="H109" s="10" t="s">
        <x:v>83</x:v>
      </x:c>
      <x:c r="I109" t="n">
        <x:v>4.5</x:v>
      </x:c>
      <x:c r="J109" t="n">
        <x:v>9941</x:v>
      </x:c>
    </x:row>
    <x:row r="110" ht="15" hidden="0">
      <x:c r="A110" s="9" t="n">
        <x:v>46062</x:v>
      </x:c>
      <x:c r="B110" s="10" t="s">
        <x:v>85</x:v>
      </x:c>
      <x:c r="C110" s="10" t="s">
        <x:v>87</x:v>
      </x:c>
      <x:c r="D110" s="10" t="s">
        <x:v>74</x:v>
      </x:c>
      <x:c r="E110" s="10" t="s">
        <x:v>75</x:v>
      </x:c>
      <x:c r="F110" s="11" t="n">
        <x:v>291</x:v>
      </x:c>
      <x:c r="G110" s="11" t="n">
        <x:v>357</x:v>
      </x:c>
      <x:c r="H110" s="10" t="s">
        <x:v>79</x:v>
      </x:c>
      <x:c r="I110" t="n">
        <x:v>4.6</x:v>
      </x:c>
      <x:c r="J110" t="n">
        <x:v>5537</x:v>
      </x:c>
    </x:row>
    <x:row r="111" ht="15" hidden="0">
      <x:c r="A111" s="9" t="n">
        <x:v>46062</x:v>
      </x:c>
      <x:c r="B111" s="10" t="s">
        <x:v>85</x:v>
      </x:c>
      <x:c r="C111" s="10" t="s">
        <x:v>87</x:v>
      </x:c>
      <x:c r="D111" s="10" t="s">
        <x:v>77</x:v>
      </x:c>
      <x:c r="E111" s="10" t="s">
        <x:v>78</x:v>
      </x:c>
      <x:c r="F111" s="11" t="n">
        <x:v>287</x:v>
      </x:c>
      <x:c r="G111" s="11" t="n">
        <x:v>313</x:v>
      </x:c>
      <x:c r="H111" s="10" t="s">
        <x:v>83</x:v>
      </x:c>
      <x:c r="I111" t="n">
        <x:v>3.5</x:v>
      </x:c>
      <x:c r="J111" t="n">
        <x:v>14563</x:v>
      </x:c>
    </x:row>
    <x:row r="112" ht="15" hidden="0">
      <x:c r="A112" s="9" t="n">
        <x:v>46062</x:v>
      </x:c>
      <x:c r="B112" s="10" t="s">
        <x:v>85</x:v>
      </x:c>
      <x:c r="C112" s="10" t="s">
        <x:v>87</x:v>
      </x:c>
      <x:c r="D112" s="10" t="s">
        <x:v>80</x:v>
      </x:c>
      <x:c r="E112" s="10" t="s">
        <x:v>82</x:v>
      </x:c>
      <x:c r="F112" s="11" t="n">
        <x:v>345</x:v>
      </x:c>
      <x:c r="G112" s="11" t="n">
        <x:v>470</x:v>
      </x:c>
      <x:c r="H112" s="10" t="s">
        <x:v>76</x:v>
      </x:c>
      <x:c r="I112" t="n">
        <x:v>4.7</x:v>
      </x:c>
      <x:c r="J112" t="n">
        <x:v>985</x:v>
      </x:c>
    </x:row>
    <x:row r="113" ht="15" hidden="0">
      <x:c r="A113" s="9" t="n">
        <x:v>46062</x:v>
      </x:c>
      <x:c r="B113" s="10" t="s">
        <x:v>85</x:v>
      </x:c>
      <x:c r="C113" s="10" t="s">
        <x:v>87</x:v>
      </x:c>
      <x:c r="D113" s="10" t="s">
        <x:v>81</x:v>
      </x:c>
      <x:c r="E113" s="10" t="s">
        <x:v>75</x:v>
      </x:c>
      <x:c r="F113" s="11" t="n">
        <x:v>374</x:v>
      </x:c>
      <x:c r="G113" s="11" t="n">
        <x:v>529</x:v>
      </x:c>
      <x:c r="H113" s="10" t="s">
        <x:v>83</x:v>
      </x:c>
      <x:c r="I113" t="n">
        <x:v>4.2</x:v>
      </x:c>
      <x:c r="J113" t="n">
        <x:v>5359</x:v>
      </x:c>
    </x:row>
    <x:row r="114" ht="15" hidden="0">
      <x:c r="A114" s="9" t="n">
        <x:v>46069</x:v>
      </x:c>
      <x:c r="B114" s="10" t="s">
        <x:v>88</x:v>
      </x:c>
      <x:c r="C114" s="10" t="s">
        <x:v>89</x:v>
      </x:c>
      <x:c r="D114" s="10" t="s">
        <x:v>74</x:v>
      </x:c>
      <x:c r="E114" s="10" t="s">
        <x:v>75</x:v>
      </x:c>
      <x:c r="F114" s="11" t="n">
        <x:v>1353</x:v>
      </x:c>
      <x:c r="G114" s="11" t="n">
        <x:v>1727</x:v>
      </x:c>
      <x:c r="H114" s="10" t="s">
        <x:v>83</x:v>
      </x:c>
      <x:c r="I114" t="n">
        <x:v>3.8</x:v>
      </x:c>
      <x:c r="J114" t="n">
        <x:v>11023</x:v>
      </x:c>
    </x:row>
    <x:row r="115" ht="15" hidden="0">
      <x:c r="A115" s="9" t="n">
        <x:v>46069</x:v>
      </x:c>
      <x:c r="B115" s="10" t="s">
        <x:v>88</x:v>
      </x:c>
      <x:c r="C115" s="10" t="s">
        <x:v>89</x:v>
      </x:c>
      <x:c r="D115" s="10" t="s">
        <x:v>77</x:v>
      </x:c>
      <x:c r="E115" s="10" t="s">
        <x:v>78</x:v>
      </x:c>
      <x:c r="F115" s="11" t="n">
        <x:v>1529</x:v>
      </x:c>
      <x:c r="G115" s="11" t="n">
        <x:v>2285</x:v>
      </x:c>
      <x:c r="H115" s="10" t="s">
        <x:v>76</x:v>
      </x:c>
      <x:c r="I115" t="n">
        <x:v>4.3</x:v>
      </x:c>
      <x:c r="J115" t="n">
        <x:v>2153</x:v>
      </x:c>
    </x:row>
    <x:row r="116" ht="15" hidden="0">
      <x:c r="A116" s="9" t="n">
        <x:v>46069</x:v>
      </x:c>
      <x:c r="B116" s="10" t="s">
        <x:v>88</x:v>
      </x:c>
      <x:c r="C116" s="10" t="s">
        <x:v>89</x:v>
      </x:c>
      <x:c r="D116" s="10" t="s">
        <x:v>80</x:v>
      </x:c>
      <x:c r="E116" s="10" t="s">
        <x:v>75</x:v>
      </x:c>
      <x:c r="F116" s="11" t="n">
        <x:v>1705</x:v>
      </x:c>
      <x:c r="G116" s="11" t="n">
        <x:v>2424</x:v>
      </x:c>
      <x:c r="H116" s="10" t="s">
        <x:v>83</x:v>
      </x:c>
      <x:c r="I116" t="n">
        <x:v>3.9</x:v>
      </x:c>
      <x:c r="J116" t="n">
        <x:v>6205</x:v>
      </x:c>
    </x:row>
    <x:row r="117" ht="15" hidden="0">
      <x:c r="A117" s="9" t="n">
        <x:v>46069</x:v>
      </x:c>
      <x:c r="B117" s="10" t="s">
        <x:v>88</x:v>
      </x:c>
      <x:c r="C117" s="10" t="s">
        <x:v>89</x:v>
      </x:c>
      <x:c r="D117" s="10" t="s">
        <x:v>81</x:v>
      </x:c>
      <x:c r="E117" s="10" t="s">
        <x:v>75</x:v>
      </x:c>
      <x:c r="F117" s="11" t="n">
        <x:v>1429</x:v>
      </x:c>
      <x:c r="G117" s="11" t="n">
        <x:v>1841</x:v>
      </x:c>
      <x:c r="H117" s="10" t="s">
        <x:v>76</x:v>
      </x:c>
      <x:c r="I117" t="n">
        <x:v>3.6</x:v>
      </x:c>
      <x:c r="J117" t="n">
        <x:v>18304</x:v>
      </x:c>
    </x:row>
    <x:row r="118" ht="15" hidden="0">
      <x:c r="A118" s="9" t="n">
        <x:v>45999</x:v>
      </x:c>
      <x:c r="B118" s="10" t="s">
        <x:v>72</x:v>
      </x:c>
      <x:c r="C118" s="10" t="s">
        <x:v>95</x:v>
      </x:c>
      <x:c r="D118" s="10" t="s">
        <x:v>74</x:v>
      </x:c>
      <x:c r="E118" s="10" t="s">
        <x:v>78</x:v>
      </x:c>
      <x:c r="F118" s="11" t="n">
        <x:v>5314</x:v>
      </x:c>
      <x:c r="G118" s="11" t="n">
        <x:v>7014</x:v>
      </x:c>
      <x:c r="H118" s="10" t="s">
        <x:v>83</x:v>
      </x:c>
      <x:c r="I118" t="n">
        <x:v>4.1</x:v>
      </x:c>
      <x:c r="J118" t="n">
        <x:v>4813</x:v>
      </x:c>
    </x:row>
    <x:row r="119" ht="15" hidden="0">
      <x:c r="A119" s="9" t="n">
        <x:v>45999</x:v>
      </x:c>
      <x:c r="B119" s="10" t="s">
        <x:v>72</x:v>
      </x:c>
      <x:c r="C119" s="10" t="s">
        <x:v>95</x:v>
      </x:c>
      <x:c r="D119" s="10" t="s">
        <x:v>77</x:v>
      </x:c>
      <x:c r="E119" s="10" t="s">
        <x:v>75</x:v>
      </x:c>
      <x:c r="F119" s="11" t="n">
        <x:v>4506</x:v>
      </x:c>
      <x:c r="G119" s="11" t="n">
        <x:v>5484</x:v>
      </x:c>
      <x:c r="H119" s="10" t="s">
        <x:v>83</x:v>
      </x:c>
      <x:c r="I119" t="n">
        <x:v>4.6</x:v>
      </x:c>
      <x:c r="J119" t="n">
        <x:v>5534</x:v>
      </x:c>
    </x:row>
    <x:row r="120" ht="15" hidden="0">
      <x:c r="A120" s="9" t="n">
        <x:v>45999</x:v>
      </x:c>
      <x:c r="B120" s="10" t="s">
        <x:v>72</x:v>
      </x:c>
      <x:c r="C120" s="10" t="s">
        <x:v>95</x:v>
      </x:c>
      <x:c r="D120" s="10" t="s">
        <x:v>80</x:v>
      </x:c>
      <x:c r="E120" s="10" t="s">
        <x:v>82</x:v>
      </x:c>
      <x:c r="F120" s="11" t="n">
        <x:v>5261</x:v>
      </x:c>
      <x:c r="G120" s="11" t="n">
        <x:v>6275</x:v>
      </x:c>
      <x:c r="H120" s="10" t="s">
        <x:v>83</x:v>
      </x:c>
      <x:c r="I120" t="n">
        <x:v>4.7</x:v>
      </x:c>
      <x:c r="J120" t="n">
        <x:v>19787</x:v>
      </x:c>
    </x:row>
    <x:row r="121" ht="15" hidden="0">
      <x:c r="A121" s="9" t="n">
        <x:v>45999</x:v>
      </x:c>
      <x:c r="B121" s="10" t="s">
        <x:v>72</x:v>
      </x:c>
      <x:c r="C121" s="10" t="s">
        <x:v>95</x:v>
      </x:c>
      <x:c r="D121" s="10" t="s">
        <x:v>81</x:v>
      </x:c>
      <x:c r="E121" s="10" t="s">
        <x:v>75</x:v>
      </x:c>
      <x:c r="F121" s="11" t="n">
        <x:v>4602</x:v>
      </x:c>
      <x:c r="G121" s="11" t="n">
        <x:v>6106</x:v>
      </x:c>
      <x:c r="H121" s="10" t="s">
        <x:v>76</x:v>
      </x:c>
      <x:c r="I121" t="n">
        <x:v>4</x:v>
      </x:c>
      <x:c r="J121" t="n">
        <x:v>8908</x:v>
      </x:c>
    </x:row>
    <x:row r="122" ht="15" hidden="0">
      <x:c r="A122" s="9" t="n">
        <x:v>45943</x:v>
      </x:c>
      <x:c r="B122" s="10" t="s">
        <x:v>97</x:v>
      </x:c>
      <x:c r="C122" s="10" t="s">
        <x:v>101</x:v>
      </x:c>
      <x:c r="D122" s="10" t="s">
        <x:v>74</x:v>
      </x:c>
      <x:c r="E122" s="10" t="s">
        <x:v>82</x:v>
      </x:c>
      <x:c r="F122" s="11" t="n">
        <x:v>6184</x:v>
      </x:c>
      <x:c r="G122" s="11" t="n">
        <x:v>7702</x:v>
      </x:c>
      <x:c r="H122" s="10" t="s">
        <x:v>83</x:v>
      </x:c>
      <x:c r="I122" t="n">
        <x:v>4.1</x:v>
      </x:c>
      <x:c r="J122" t="n">
        <x:v>11634</x:v>
      </x:c>
    </x:row>
    <x:row r="123" ht="15" hidden="0">
      <x:c r="A123" s="9" t="n">
        <x:v>45943</x:v>
      </x:c>
      <x:c r="B123" s="10" t="s">
        <x:v>97</x:v>
      </x:c>
      <x:c r="C123" s="10" t="s">
        <x:v>101</x:v>
      </x:c>
      <x:c r="D123" s="10" t="s">
        <x:v>77</x:v>
      </x:c>
      <x:c r="E123" s="10" t="s">
        <x:v>78</x:v>
      </x:c>
      <x:c r="F123" s="11" t="n">
        <x:v>5615</x:v>
      </x:c>
      <x:c r="G123" s="11" t="n">
        <x:v>8326</x:v>
      </x:c>
      <x:c r="H123" s="10" t="s">
        <x:v>76</x:v>
      </x:c>
      <x:c r="I123" t="n">
        <x:v>4.5</x:v>
      </x:c>
      <x:c r="J123" t="n">
        <x:v>14625</x:v>
      </x:c>
    </x:row>
    <x:row r="124" ht="15" hidden="0">
      <x:c r="A124" s="9" t="n">
        <x:v>45943</x:v>
      </x:c>
      <x:c r="B124" s="10" t="s">
        <x:v>97</x:v>
      </x:c>
      <x:c r="C124" s="10" t="s">
        <x:v>101</x:v>
      </x:c>
      <x:c r="D124" s="10" t="s">
        <x:v>80</x:v>
      </x:c>
      <x:c r="E124" s="10" t="s">
        <x:v>78</x:v>
      </x:c>
      <x:c r="F124" s="11" t="n">
        <x:v>6440</x:v>
      </x:c>
      <x:c r="G124" s="11" t="n">
        <x:v>7939</x:v>
      </x:c>
      <x:c r="H124" s="10" t="s">
        <x:v>83</x:v>
      </x:c>
      <x:c r="I124" t="n">
        <x:v>3.4</x:v>
      </x:c>
      <x:c r="J124" t="n">
        <x:v>4340</x:v>
      </x:c>
    </x:row>
    <x:row r="125" ht="15" hidden="0">
      <x:c r="A125" s="9" t="n">
        <x:v>45943</x:v>
      </x:c>
      <x:c r="B125" s="10" t="s">
        <x:v>97</x:v>
      </x:c>
      <x:c r="C125" s="10" t="s">
        <x:v>101</x:v>
      </x:c>
      <x:c r="D125" s="10" t="s">
        <x:v>81</x:v>
      </x:c>
      <x:c r="E125" s="10" t="s">
        <x:v>78</x:v>
      </x:c>
      <x:c r="F125" s="11" t="n">
        <x:v>5114</x:v>
      </x:c>
      <x:c r="G125" s="11" t="n">
        <x:v>5436</x:v>
      </x:c>
      <x:c r="H125" s="10" t="s">
        <x:v>83</x:v>
      </x:c>
      <x:c r="I125" t="n">
        <x:v>4</x:v>
      </x:c>
      <x:c r="J125" t="n">
        <x:v>15019</x:v>
      </x:c>
    </x:row>
    <x:row r="126" ht="15" hidden="0">
      <x:c r="A126" s="9" t="n">
        <x:v>46055</x:v>
      </x:c>
      <x:c r="B126" s="10" t="s">
        <x:v>97</x:v>
      </x:c>
      <x:c r="C126" s="10" t="s">
        <x:v>101</x:v>
      </x:c>
      <x:c r="D126" s="10" t="s">
        <x:v>74</x:v>
      </x:c>
      <x:c r="E126" s="10" t="s">
        <x:v>78</x:v>
      </x:c>
      <x:c r="F126" s="11" t="n">
        <x:v>10206</x:v>
      </x:c>
      <x:c r="G126" s="11" t="n">
        <x:v>10733</x:v>
      </x:c>
      <x:c r="H126" s="10" t="s">
        <x:v>79</x:v>
      </x:c>
      <x:c r="I126" t="n">
        <x:v>4.1</x:v>
      </x:c>
      <x:c r="J126" t="n">
        <x:v>17749</x:v>
      </x:c>
    </x:row>
    <x:row r="127" ht="15" hidden="0">
      <x:c r="A127" s="9" t="n">
        <x:v>46055</x:v>
      </x:c>
      <x:c r="B127" s="10" t="s">
        <x:v>97</x:v>
      </x:c>
      <x:c r="C127" s="10" t="s">
        <x:v>101</x:v>
      </x:c>
      <x:c r="D127" s="10" t="s">
        <x:v>77</x:v>
      </x:c>
      <x:c r="E127" s="10" t="s">
        <x:v>82</x:v>
      </x:c>
      <x:c r="F127" s="11" t="n">
        <x:v>10549</x:v>
      </x:c>
      <x:c r="G127" s="11" t="n">
        <x:v>15347</x:v>
      </x:c>
      <x:c r="H127" s="10" t="s">
        <x:v>79</x:v>
      </x:c>
      <x:c r="I127" t="n">
        <x:v>3.8</x:v>
      </x:c>
      <x:c r="J127" t="n">
        <x:v>17577</x:v>
      </x:c>
    </x:row>
    <x:row r="128" ht="15" hidden="0">
      <x:c r="A128" s="9" t="n">
        <x:v>46055</x:v>
      </x:c>
      <x:c r="B128" s="10" t="s">
        <x:v>97</x:v>
      </x:c>
      <x:c r="C128" s="10" t="s">
        <x:v>101</x:v>
      </x:c>
      <x:c r="D128" s="10" t="s">
        <x:v>80</x:v>
      </x:c>
      <x:c r="E128" s="10" t="s">
        <x:v>78</x:v>
      </x:c>
      <x:c r="F128" s="11" t="n">
        <x:v>8219</x:v>
      </x:c>
      <x:c r="G128" s="11" t="n">
        <x:v>12149</x:v>
      </x:c>
      <x:c r="H128" s="10" t="s">
        <x:v>79</x:v>
      </x:c>
      <x:c r="I128" t="n">
        <x:v>3.7</x:v>
      </x:c>
      <x:c r="J128" t="n">
        <x:v>17076</x:v>
      </x:c>
    </x:row>
    <x:row r="129" ht="15" hidden="0">
      <x:c r="A129" s="9" t="n">
        <x:v>46055</x:v>
      </x:c>
      <x:c r="B129" s="10" t="s">
        <x:v>97</x:v>
      </x:c>
      <x:c r="C129" s="10" t="s">
        <x:v>101</x:v>
      </x:c>
      <x:c r="D129" s="10" t="s">
        <x:v>81</x:v>
      </x:c>
      <x:c r="E129" s="10" t="s">
        <x:v>82</x:v>
      </x:c>
      <x:c r="F129" s="11" t="n">
        <x:v>9120</x:v>
      </x:c>
      <x:c r="G129" s="11" t="n">
        <x:v>11029</x:v>
      </x:c>
      <x:c r="H129" s="10" t="s">
        <x:v>83</x:v>
      </x:c>
      <x:c r="I129" t="n">
        <x:v>4.1</x:v>
      </x:c>
      <x:c r="J129" t="n">
        <x:v>19888</x:v>
      </x:c>
    </x:row>
    <x:row r="130" ht="15" hidden="0">
      <x:c r="A130" s="9" t="n">
        <x:v>46069</x:v>
      </x:c>
      <x:c r="B130" s="10" t="s">
        <x:v>85</x:v>
      </x:c>
      <x:c r="C130" s="10" t="s">
        <x:v>86</x:v>
      </x:c>
      <x:c r="D130" s="10" t="s">
        <x:v>74</x:v>
      </x:c>
      <x:c r="E130" s="10" t="s">
        <x:v>78</x:v>
      </x:c>
      <x:c r="F130" s="11" t="n">
        <x:v>400</x:v>
      </x:c>
      <x:c r="G130" s="11" t="n">
        <x:v>552</x:v>
      </x:c>
      <x:c r="H130" s="10" t="s">
        <x:v>83</x:v>
      </x:c>
      <x:c r="I130" t="n">
        <x:v>4.5</x:v>
      </x:c>
      <x:c r="J130" t="n">
        <x:v>1887</x:v>
      </x:c>
    </x:row>
    <x:row r="131" ht="15" hidden="0">
      <x:c r="A131" s="9" t="n">
        <x:v>46069</x:v>
      </x:c>
      <x:c r="B131" s="10" t="s">
        <x:v>85</x:v>
      </x:c>
      <x:c r="C131" s="10" t="s">
        <x:v>86</x:v>
      </x:c>
      <x:c r="D131" s="10" t="s">
        <x:v>77</x:v>
      </x:c>
      <x:c r="E131" s="10" t="s">
        <x:v>75</x:v>
      </x:c>
      <x:c r="F131" s="11" t="n">
        <x:v>392</x:v>
      </x:c>
      <x:c r="G131" s="11" t="n">
        <x:v>549</x:v>
      </x:c>
      <x:c r="H131" s="10" t="s">
        <x:v>76</x:v>
      </x:c>
      <x:c r="I131" t="n">
        <x:v>3.8</x:v>
      </x:c>
      <x:c r="J131" t="n">
        <x:v>4465</x:v>
      </x:c>
    </x:row>
    <x:row r="132" ht="15" hidden="0">
      <x:c r="A132" s="9" t="n">
        <x:v>46069</x:v>
      </x:c>
      <x:c r="B132" s="10" t="s">
        <x:v>85</x:v>
      </x:c>
      <x:c r="C132" s="10" t="s">
        <x:v>86</x:v>
      </x:c>
      <x:c r="D132" s="10" t="s">
        <x:v>80</x:v>
      </x:c>
      <x:c r="E132" s="10" t="s">
        <x:v>75</x:v>
      </x:c>
      <x:c r="F132" s="11" t="n">
        <x:v>457</x:v>
      </x:c>
      <x:c r="G132" s="11" t="n">
        <x:v>521</x:v>
      </x:c>
      <x:c r="H132" s="10" t="s">
        <x:v>83</x:v>
      </x:c>
      <x:c r="I132" t="n">
        <x:v>4.3</x:v>
      </x:c>
      <x:c r="J132" t="n">
        <x:v>14889</x:v>
      </x:c>
    </x:row>
    <x:row r="133" ht="15" hidden="0">
      <x:c r="A133" s="9" t="n">
        <x:v>46069</x:v>
      </x:c>
      <x:c r="B133" s="10" t="s">
        <x:v>85</x:v>
      </x:c>
      <x:c r="C133" s="10" t="s">
        <x:v>86</x:v>
      </x:c>
      <x:c r="D133" s="10" t="s">
        <x:v>81</x:v>
      </x:c>
      <x:c r="E133" s="10" t="s">
        <x:v>78</x:v>
      </x:c>
      <x:c r="F133" s="11" t="n">
        <x:v>406</x:v>
      </x:c>
      <x:c r="G133" s="11" t="n">
        <x:v>586</x:v>
      </x:c>
      <x:c r="H133" s="10" t="s">
        <x:v>83</x:v>
      </x:c>
      <x:c r="I133" t="n">
        <x:v>3.5</x:v>
      </x:c>
      <x:c r="J133" t="n">
        <x:v>7568</x:v>
      </x:c>
    </x:row>
    <x:row r="134" ht="15" hidden="0">
      <x:c r="A134" s="9" t="n">
        <x:v>46020</x:v>
      </x:c>
      <x:c r="B134" s="10" t="s">
        <x:v>88</x:v>
      </x:c>
      <x:c r="C134" s="10" t="s">
        <x:v>102</x:v>
      </x:c>
      <x:c r="D134" s="10" t="s">
        <x:v>74</x:v>
      </x:c>
      <x:c r="E134" s="10" t="s">
        <x:v>82</x:v>
      </x:c>
      <x:c r="F134" s="11" t="n">
        <x:v>561</x:v>
      </x:c>
      <x:c r="G134" s="11" t="n">
        <x:v>663</x:v>
      </x:c>
      <x:c r="H134" s="10" t="s">
        <x:v>79</x:v>
      </x:c>
      <x:c r="I134" t="n">
        <x:v>4.5</x:v>
      </x:c>
      <x:c r="J134" t="n">
        <x:v>16700</x:v>
      </x:c>
    </x:row>
    <x:row r="135" ht="15" hidden="0">
      <x:c r="A135" s="9" t="n">
        <x:v>46020</x:v>
      </x:c>
      <x:c r="B135" s="10" t="s">
        <x:v>88</x:v>
      </x:c>
      <x:c r="C135" s="10" t="s">
        <x:v>102</x:v>
      </x:c>
      <x:c r="D135" s="10" t="s">
        <x:v>77</x:v>
      </x:c>
      <x:c r="E135" s="10" t="s">
        <x:v>78</x:v>
      </x:c>
      <x:c r="F135" s="11" t="n">
        <x:v>577</x:v>
      </x:c>
      <x:c r="G135" s="11" t="n">
        <x:v>860</x:v>
      </x:c>
      <x:c r="H135" s="10" t="s">
        <x:v>76</x:v>
      </x:c>
      <x:c r="I135" t="n">
        <x:v>4.1</x:v>
      </x:c>
      <x:c r="J135" t="n">
        <x:v>7511</x:v>
      </x:c>
    </x:row>
    <x:row r="136" ht="15" hidden="0">
      <x:c r="A136" s="9" t="n">
        <x:v>46020</x:v>
      </x:c>
      <x:c r="B136" s="10" t="s">
        <x:v>88</x:v>
      </x:c>
      <x:c r="C136" s="10" t="s">
        <x:v>102</x:v>
      </x:c>
      <x:c r="D136" s="10" t="s">
        <x:v>80</x:v>
      </x:c>
      <x:c r="E136" s="10" t="s">
        <x:v>78</x:v>
      </x:c>
      <x:c r="F136" s="11" t="n">
        <x:v>465</x:v>
      </x:c>
      <x:c r="G136" s="11" t="n">
        <x:v>617</x:v>
      </x:c>
      <x:c r="H136" s="10" t="s">
        <x:v>83</x:v>
      </x:c>
      <x:c r="I136" t="n">
        <x:v>3.7</x:v>
      </x:c>
      <x:c r="J136" t="n">
        <x:v>3255</x:v>
      </x:c>
    </x:row>
    <x:row r="137" ht="15" hidden="0">
      <x:c r="A137" s="9" t="n">
        <x:v>46020</x:v>
      </x:c>
      <x:c r="B137" s="10" t="s">
        <x:v>88</x:v>
      </x:c>
      <x:c r="C137" s="10" t="s">
        <x:v>102</x:v>
      </x:c>
      <x:c r="D137" s="10" t="s">
        <x:v>81</x:v>
      </x:c>
      <x:c r="E137" s="10" t="s">
        <x:v>75</x:v>
      </x:c>
      <x:c r="F137" s="11" t="n">
        <x:v>475</x:v>
      </x:c>
      <x:c r="G137" s="11" t="n">
        <x:v>655</x:v>
      </x:c>
      <x:c r="H137" s="10" t="s">
        <x:v>83</x:v>
      </x:c>
      <x:c r="I137" t="n">
        <x:v>3.9</x:v>
      </x:c>
      <x:c r="J137" t="n">
        <x:v>11741</x:v>
      </x:c>
    </x:row>
    <x:row r="138" ht="15" hidden="0">
      <x:c r="A138" s="9" t="n">
        <x:v>45964</x:v>
      </x:c>
      <x:c r="B138" s="10" t="s">
        <x:v>72</x:v>
      </x:c>
      <x:c r="C138" s="10" t="s">
        <x:v>84</x:v>
      </x:c>
      <x:c r="D138" s="10" t="s">
        <x:v>74</x:v>
      </x:c>
      <x:c r="E138" s="10" t="s">
        <x:v>75</x:v>
      </x:c>
      <x:c r="F138" s="11" t="n">
        <x:v>526</x:v>
      </x:c>
      <x:c r="G138" s="11" t="n">
        <x:v>737</x:v>
      </x:c>
      <x:c r="H138" s="10" t="s">
        <x:v>76</x:v>
      </x:c>
      <x:c r="I138" t="n">
        <x:v>3.7</x:v>
      </x:c>
      <x:c r="J138" t="n">
        <x:v>19315</x:v>
      </x:c>
    </x:row>
    <x:row r="139" ht="15" hidden="0">
      <x:c r="A139" s="9" t="n">
        <x:v>45964</x:v>
      </x:c>
      <x:c r="B139" s="10" t="s">
        <x:v>72</x:v>
      </x:c>
      <x:c r="C139" s="10" t="s">
        <x:v>84</x:v>
      </x:c>
      <x:c r="D139" s="10" t="s">
        <x:v>77</x:v>
      </x:c>
      <x:c r="E139" s="10" t="s">
        <x:v>82</x:v>
      </x:c>
      <x:c r="F139" s="11" t="n">
        <x:v>488</x:v>
      </x:c>
      <x:c r="G139" s="11" t="n">
        <x:v>601</x:v>
      </x:c>
      <x:c r="H139" s="10" t="s">
        <x:v>79</x:v>
      </x:c>
      <x:c r="I139" t="n">
        <x:v>3.6</x:v>
      </x:c>
      <x:c r="J139" t="n">
        <x:v>9980</x:v>
      </x:c>
    </x:row>
    <x:row r="140" ht="15" hidden="0">
      <x:c r="A140" s="9" t="n">
        <x:v>45964</x:v>
      </x:c>
      <x:c r="B140" s="10" t="s">
        <x:v>72</x:v>
      </x:c>
      <x:c r="C140" s="10" t="s">
        <x:v>84</x:v>
      </x:c>
      <x:c r="D140" s="10" t="s">
        <x:v>80</x:v>
      </x:c>
      <x:c r="E140" s="10" t="s">
        <x:v>78</x:v>
      </x:c>
      <x:c r="F140" s="11" t="n">
        <x:v>479</x:v>
      </x:c>
      <x:c r="G140" s="11" t="n">
        <x:v>688</x:v>
      </x:c>
      <x:c r="H140" s="10" t="s">
        <x:v>83</x:v>
      </x:c>
      <x:c r="I140" t="n">
        <x:v>4.5</x:v>
      </x:c>
      <x:c r="J140" t="n">
        <x:v>2779</x:v>
      </x:c>
    </x:row>
    <x:row r="141" ht="15" hidden="0">
      <x:c r="A141" s="9" t="n">
        <x:v>45964</x:v>
      </x:c>
      <x:c r="B141" s="10" t="s">
        <x:v>72</x:v>
      </x:c>
      <x:c r="C141" s="10" t="s">
        <x:v>84</x:v>
      </x:c>
      <x:c r="D141" s="10" t="s">
        <x:v>81</x:v>
      </x:c>
      <x:c r="E141" s="10" t="s">
        <x:v>82</x:v>
      </x:c>
      <x:c r="F141" s="11" t="n">
        <x:v>509</x:v>
      </x:c>
      <x:c r="G141" s="11" t="n">
        <x:v>750</x:v>
      </x:c>
      <x:c r="H141" s="10" t="s">
        <x:v>79</x:v>
      </x:c>
      <x:c r="I141" t="n">
        <x:v>4.1</x:v>
      </x:c>
      <x:c r="J141" t="n">
        <x:v>8527</x:v>
      </x:c>
    </x:row>
    <x:row r="142" ht="15" hidden="0">
      <x:c r="A142" s="9" t="n">
        <x:v>45999</x:v>
      </x:c>
      <x:c r="B142" s="10" t="s">
        <x:v>88</x:v>
      </x:c>
      <x:c r="C142" s="10" t="s">
        <x:v>102</x:v>
      </x:c>
      <x:c r="D142" s="10" t="s">
        <x:v>74</x:v>
      </x:c>
      <x:c r="E142" s="10" t="s">
        <x:v>82</x:v>
      </x:c>
      <x:c r="F142" s="11" t="n">
        <x:v>418</x:v>
      </x:c>
      <x:c r="G142" s="11" t="n">
        <x:v>607</x:v>
      </x:c>
      <x:c r="H142" s="10" t="s">
        <x:v>83</x:v>
      </x:c>
      <x:c r="I142" t="n">
        <x:v>4.2</x:v>
      </x:c>
      <x:c r="J142" t="n">
        <x:v>15911</x:v>
      </x:c>
    </x:row>
    <x:row r="143" ht="15" hidden="0">
      <x:c r="A143" s="9" t="n">
        <x:v>45999</x:v>
      </x:c>
      <x:c r="B143" s="10" t="s">
        <x:v>88</x:v>
      </x:c>
      <x:c r="C143" s="10" t="s">
        <x:v>102</x:v>
      </x:c>
      <x:c r="D143" s="10" t="s">
        <x:v>77</x:v>
      </x:c>
      <x:c r="E143" s="10" t="s">
        <x:v>78</x:v>
      </x:c>
      <x:c r="F143" s="11" t="n">
        <x:v>384</x:v>
      </x:c>
      <x:c r="G143" s="11" t="n">
        <x:v>461</x:v>
      </x:c>
      <x:c r="H143" s="10" t="s">
        <x:v>83</x:v>
      </x:c>
      <x:c r="I143" t="n">
        <x:v>4.2</x:v>
      </x:c>
      <x:c r="J143" t="n">
        <x:v>9041</x:v>
      </x:c>
    </x:row>
    <x:row r="144" ht="15" hidden="0">
      <x:c r="A144" s="9" t="n">
        <x:v>45999</x:v>
      </x:c>
      <x:c r="B144" s="10" t="s">
        <x:v>88</x:v>
      </x:c>
      <x:c r="C144" s="10" t="s">
        <x:v>102</x:v>
      </x:c>
      <x:c r="D144" s="10" t="s">
        <x:v>80</x:v>
      </x:c>
      <x:c r="E144" s="10" t="s">
        <x:v>75</x:v>
      </x:c>
      <x:c r="F144" s="11" t="n">
        <x:v>341</x:v>
      </x:c>
      <x:c r="G144" s="11" t="n">
        <x:v>508</x:v>
      </x:c>
      <x:c r="H144" s="10" t="s">
        <x:v>83</x:v>
      </x:c>
      <x:c r="I144" t="n">
        <x:v>3.4</x:v>
      </x:c>
      <x:c r="J144" t="n">
        <x:v>16149</x:v>
      </x:c>
    </x:row>
    <x:row r="145" ht="15" hidden="0">
      <x:c r="A145" s="9" t="n">
        <x:v>45999</x:v>
      </x:c>
      <x:c r="B145" s="10" t="s">
        <x:v>88</x:v>
      </x:c>
      <x:c r="C145" s="10" t="s">
        <x:v>102</x:v>
      </x:c>
      <x:c r="D145" s="10" t="s">
        <x:v>81</x:v>
      </x:c>
      <x:c r="E145" s="10" t="s">
        <x:v>82</x:v>
      </x:c>
      <x:c r="F145" s="11" t="n">
        <x:v>419</x:v>
      </x:c>
      <x:c r="G145" s="11" t="n">
        <x:v>459</x:v>
      </x:c>
      <x:c r="H145" s="10" t="s">
        <x:v>76</x:v>
      </x:c>
      <x:c r="I145" t="n">
        <x:v>4.5</x:v>
      </x:c>
      <x:c r="J145" t="n">
        <x:v>743</x:v>
      </x:c>
    </x:row>
    <x:row r="146" ht="15" hidden="0">
      <x:c r="A146" s="9" t="n">
        <x:v>45992</x:v>
      </x:c>
      <x:c r="B146" s="10" t="s">
        <x:v>88</x:v>
      </x:c>
      <x:c r="C146" s="10" t="s">
        <x:v>89</x:v>
      </x:c>
      <x:c r="D146" s="10" t="s">
        <x:v>74</x:v>
      </x:c>
      <x:c r="E146" s="10" t="s">
        <x:v>82</x:v>
      </x:c>
      <x:c r="F146" s="11" t="n">
        <x:v>1499</x:v>
      </x:c>
      <x:c r="G146" s="11" t="n">
        <x:v>1984</x:v>
      </x:c>
      <x:c r="H146" s="10" t="s">
        <x:v>83</x:v>
      </x:c>
      <x:c r="I146" t="n">
        <x:v>4.6</x:v>
      </x:c>
      <x:c r="J146" t="n">
        <x:v>5126</x:v>
      </x:c>
    </x:row>
    <x:row r="147" ht="15" hidden="0">
      <x:c r="A147" s="9" t="n">
        <x:v>45992</x:v>
      </x:c>
      <x:c r="B147" s="10" t="s">
        <x:v>88</x:v>
      </x:c>
      <x:c r="C147" s="10" t="s">
        <x:v>89</x:v>
      </x:c>
      <x:c r="D147" s="10" t="s">
        <x:v>77</x:v>
      </x:c>
      <x:c r="E147" s="10" t="s">
        <x:v>75</x:v>
      </x:c>
      <x:c r="F147" s="11" t="n">
        <x:v>1460</x:v>
      </x:c>
      <x:c r="G147" s="11" t="n">
        <x:v>1619</x:v>
      </x:c>
      <x:c r="H147" s="10" t="s">
        <x:v>83</x:v>
      </x:c>
      <x:c r="I147" t="n">
        <x:v>4.4</x:v>
      </x:c>
      <x:c r="J147" t="n">
        <x:v>16052</x:v>
      </x:c>
    </x:row>
    <x:row r="148" ht="15" hidden="0">
      <x:c r="A148" s="9" t="n">
        <x:v>45992</x:v>
      </x:c>
      <x:c r="B148" s="10" t="s">
        <x:v>88</x:v>
      </x:c>
      <x:c r="C148" s="10" t="s">
        <x:v>89</x:v>
      </x:c>
      <x:c r="D148" s="10" t="s">
        <x:v>80</x:v>
      </x:c>
      <x:c r="E148" s="10" t="s">
        <x:v>82</x:v>
      </x:c>
      <x:c r="F148" s="11" t="n">
        <x:v>1460</x:v>
      </x:c>
      <x:c r="G148" s="11" t="n">
        <x:v>2116</x:v>
      </x:c>
      <x:c r="H148" s="10" t="s">
        <x:v>83</x:v>
      </x:c>
      <x:c r="I148" t="n">
        <x:v>4.4</x:v>
      </x:c>
      <x:c r="J148" t="n">
        <x:v>19878</x:v>
      </x:c>
    </x:row>
    <x:row r="149" ht="15" hidden="0">
      <x:c r="A149" s="9" t="n">
        <x:v>45992</x:v>
      </x:c>
      <x:c r="B149" s="10" t="s">
        <x:v>88</x:v>
      </x:c>
      <x:c r="C149" s="10" t="s">
        <x:v>89</x:v>
      </x:c>
      <x:c r="D149" s="10" t="s">
        <x:v>81</x:v>
      </x:c>
      <x:c r="E149" s="10" t="s">
        <x:v>75</x:v>
      </x:c>
      <x:c r="F149" s="11" t="n">
        <x:v>1320</x:v>
      </x:c>
      <x:c r="G149" s="11" t="n">
        <x:v>1782</x:v>
      </x:c>
      <x:c r="H149" s="10" t="s">
        <x:v>83</x:v>
      </x:c>
      <x:c r="I149" t="n">
        <x:v>4.2</x:v>
      </x:c>
      <x:c r="J149" t="n">
        <x:v>11933</x:v>
      </x:c>
    </x:row>
    <x:row r="150" ht="15" hidden="0">
      <x:c r="A150" s="9" t="n">
        <x:v>45943</x:v>
      </x:c>
      <x:c r="B150" s="10" t="s">
        <x:v>85</x:v>
      </x:c>
      <x:c r="C150" s="10" t="s">
        <x:v>103</x:v>
      </x:c>
      <x:c r="D150" s="10" t="s">
        <x:v>74</x:v>
      </x:c>
      <x:c r="E150" s="10" t="s">
        <x:v>78</x:v>
      </x:c>
      <x:c r="F150" s="11" t="n">
        <x:v>641</x:v>
      </x:c>
      <x:c r="G150" s="11" t="n">
        <x:v>949</x:v>
      </x:c>
      <x:c r="H150" s="10" t="s">
        <x:v>79</x:v>
      </x:c>
      <x:c r="I150" t="n">
        <x:v>4.7</x:v>
      </x:c>
      <x:c r="J150" t="n">
        <x:v>13304</x:v>
      </x:c>
    </x:row>
    <x:row r="151" ht="15" hidden="0">
      <x:c r="A151" s="9" t="n">
        <x:v>45943</x:v>
      </x:c>
      <x:c r="B151" s="10" t="s">
        <x:v>85</x:v>
      </x:c>
      <x:c r="C151" s="10" t="s">
        <x:v>103</x:v>
      </x:c>
      <x:c r="D151" s="10" t="s">
        <x:v>77</x:v>
      </x:c>
      <x:c r="E151" s="10" t="s">
        <x:v>78</x:v>
      </x:c>
      <x:c r="F151" s="11" t="n">
        <x:v>688</x:v>
      </x:c>
      <x:c r="G151" s="11" t="n">
        <x:v>907</x:v>
      </x:c>
      <x:c r="H151" s="10" t="s">
        <x:v>76</x:v>
      </x:c>
      <x:c r="I151" t="n">
        <x:v>3.9</x:v>
      </x:c>
      <x:c r="J151" t="n">
        <x:v>15953</x:v>
      </x:c>
    </x:row>
    <x:row r="152" ht="15" hidden="0">
      <x:c r="A152" s="9" t="n">
        <x:v>45943</x:v>
      </x:c>
      <x:c r="B152" s="10" t="s">
        <x:v>85</x:v>
      </x:c>
      <x:c r="C152" s="10" t="s">
        <x:v>103</x:v>
      </x:c>
      <x:c r="D152" s="10" t="s">
        <x:v>80</x:v>
      </x:c>
      <x:c r="E152" s="10" t="s">
        <x:v>75</x:v>
      </x:c>
      <x:c r="F152" s="11" t="n">
        <x:v>607</x:v>
      </x:c>
      <x:c r="G152" s="11" t="n">
        <x:v>821</x:v>
      </x:c>
      <x:c r="H152" s="10" t="s">
        <x:v>76</x:v>
      </x:c>
      <x:c r="I152" t="n">
        <x:v>3.7</x:v>
      </x:c>
      <x:c r="J152" t="n">
        <x:v>10334</x:v>
      </x:c>
    </x:row>
    <x:row r="153" ht="15" hidden="0">
      <x:c r="A153" s="9" t="n">
        <x:v>45943</x:v>
      </x:c>
      <x:c r="B153" s="10" t="s">
        <x:v>85</x:v>
      </x:c>
      <x:c r="C153" s="10" t="s">
        <x:v>103</x:v>
      </x:c>
      <x:c r="D153" s="10" t="s">
        <x:v>81</x:v>
      </x:c>
      <x:c r="E153" s="10" t="s">
        <x:v>78</x:v>
      </x:c>
      <x:c r="F153" s="11" t="n">
        <x:v>589</x:v>
      </x:c>
      <x:c r="G153" s="11" t="n">
        <x:v>816</x:v>
      </x:c>
      <x:c r="H153" s="10" t="s">
        <x:v>83</x:v>
      </x:c>
      <x:c r="I153" t="n">
        <x:v>4.1</x:v>
      </x:c>
      <x:c r="J153" t="n">
        <x:v>13557</x:v>
      </x:c>
    </x:row>
    <x:row r="154" ht="15" hidden="0">
      <x:c r="A154" s="9" t="n">
        <x:v>45971</x:v>
      </x:c>
      <x:c r="B154" s="10" t="s">
        <x:v>85</x:v>
      </x:c>
      <x:c r="C154" s="10" t="s">
        <x:v>86</x:v>
      </x:c>
      <x:c r="D154" s="10" t="s">
        <x:v>74</x:v>
      </x:c>
      <x:c r="E154" s="10" t="s">
        <x:v>78</x:v>
      </x:c>
      <x:c r="F154" s="11" t="n">
        <x:v>302</x:v>
      </x:c>
      <x:c r="G154" s="11" t="n">
        <x:v>388</x:v>
      </x:c>
      <x:c r="H154" s="10" t="s">
        <x:v>76</x:v>
      </x:c>
      <x:c r="I154" t="n">
        <x:v>4</x:v>
      </x:c>
      <x:c r="J154" t="n">
        <x:v>4949</x:v>
      </x:c>
    </x:row>
    <x:row r="155" ht="15" hidden="0">
      <x:c r="A155" s="9" t="n">
        <x:v>45971</x:v>
      </x:c>
      <x:c r="B155" s="10" t="s">
        <x:v>85</x:v>
      </x:c>
      <x:c r="C155" s="10" t="s">
        <x:v>86</x:v>
      </x:c>
      <x:c r="D155" s="10" t="s">
        <x:v>77</x:v>
      </x:c>
      <x:c r="E155" s="10" t="s">
        <x:v>82</x:v>
      </x:c>
      <x:c r="F155" s="11" t="n">
        <x:v>295</x:v>
      </x:c>
      <x:c r="G155" s="11" t="n">
        <x:v>422</x:v>
      </x:c>
      <x:c r="H155" s="10" t="s">
        <x:v>79</x:v>
      </x:c>
      <x:c r="I155" t="n">
        <x:v>4.1</x:v>
      </x:c>
      <x:c r="J155" t="n">
        <x:v>4065</x:v>
      </x:c>
    </x:row>
    <x:row r="156" ht="15" hidden="0">
      <x:c r="A156" s="9" t="n">
        <x:v>45971</x:v>
      </x:c>
      <x:c r="B156" s="10" t="s">
        <x:v>85</x:v>
      </x:c>
      <x:c r="C156" s="10" t="s">
        <x:v>86</x:v>
      </x:c>
      <x:c r="D156" s="10" t="s">
        <x:v>80</x:v>
      </x:c>
      <x:c r="E156" s="10" t="s">
        <x:v>75</x:v>
      </x:c>
      <x:c r="F156" s="11" t="n">
        <x:v>301</x:v>
      </x:c>
      <x:c r="G156" s="11" t="n">
        <x:v>356</x:v>
      </x:c>
      <x:c r="H156" s="10" t="s">
        <x:v>79</x:v>
      </x:c>
      <x:c r="I156" t="n">
        <x:v>3.9</x:v>
      </x:c>
      <x:c r="J156" t="n">
        <x:v>18444</x:v>
      </x:c>
    </x:row>
    <x:row r="157" ht="15" hidden="0">
      <x:c r="A157" s="9" t="n">
        <x:v>45971</x:v>
      </x:c>
      <x:c r="B157" s="10" t="s">
        <x:v>85</x:v>
      </x:c>
      <x:c r="C157" s="10" t="s">
        <x:v>86</x:v>
      </x:c>
      <x:c r="D157" s="10" t="s">
        <x:v>81</x:v>
      </x:c>
      <x:c r="E157" s="10" t="s">
        <x:v>78</x:v>
      </x:c>
      <x:c r="F157" s="11" t="n">
        <x:v>288</x:v>
      </x:c>
      <x:c r="G157" s="11" t="n">
        <x:v>346</x:v>
      </x:c>
      <x:c r="H157" s="10" t="s">
        <x:v>79</x:v>
      </x:c>
      <x:c r="I157" t="n">
        <x:v>4.5</x:v>
      </x:c>
      <x:c r="J157" t="n">
        <x:v>15844</x:v>
      </x:c>
    </x:row>
    <x:row r="158" ht="15" hidden="0">
      <x:c r="A158" s="9" t="n">
        <x:v>45999</x:v>
      </x:c>
      <x:c r="B158" s="10" t="s">
        <x:v>85</x:v>
      </x:c>
      <x:c r="C158" s="10" t="s">
        <x:v>104</x:v>
      </x:c>
      <x:c r="D158" s="10" t="s">
        <x:v>74</x:v>
      </x:c>
      <x:c r="E158" s="10" t="s">
        <x:v>75</x:v>
      </x:c>
      <x:c r="F158" s="11" t="n">
        <x:v>792</x:v>
      </x:c>
      <x:c r="G158" s="11" t="n">
        <x:v>840</x:v>
      </x:c>
      <x:c r="H158" s="10" t="s">
        <x:v>83</x:v>
      </x:c>
      <x:c r="I158" t="n">
        <x:v>4</x:v>
      </x:c>
      <x:c r="J158" t="n">
        <x:v>18085</x:v>
      </x:c>
    </x:row>
    <x:row r="159" ht="15" hidden="0">
      <x:c r="A159" s="9" t="n">
        <x:v>45999</x:v>
      </x:c>
      <x:c r="B159" s="10" t="s">
        <x:v>85</x:v>
      </x:c>
      <x:c r="C159" s="10" t="s">
        <x:v>104</x:v>
      </x:c>
      <x:c r="D159" s="10" t="s">
        <x:v>77</x:v>
      </x:c>
      <x:c r="E159" s="10" t="s">
        <x:v>75</x:v>
      </x:c>
      <x:c r="F159" s="11" t="n">
        <x:v>657</x:v>
      </x:c>
      <x:c r="G159" s="11" t="n">
        <x:v>981</x:v>
      </x:c>
      <x:c r="H159" s="10" t="s">
        <x:v>79</x:v>
      </x:c>
      <x:c r="I159" t="n">
        <x:v>3.7</x:v>
      </x:c>
      <x:c r="J159" t="n">
        <x:v>5517</x:v>
      </x:c>
    </x:row>
    <x:row r="160" ht="15" hidden="0">
      <x:c r="A160" s="9" t="n">
        <x:v>45999</x:v>
      </x:c>
      <x:c r="B160" s="10" t="s">
        <x:v>85</x:v>
      </x:c>
      <x:c r="C160" s="10" t="s">
        <x:v>104</x:v>
      </x:c>
      <x:c r="D160" s="10" t="s">
        <x:v>80</x:v>
      </x:c>
      <x:c r="E160" s="10" t="s">
        <x:v>75</x:v>
      </x:c>
      <x:c r="F160" s="11" t="n">
        <x:v>687</x:v>
      </x:c>
      <x:c r="G160" s="11" t="n">
        <x:v>787</x:v>
      </x:c>
      <x:c r="H160" s="10" t="s">
        <x:v>79</x:v>
      </x:c>
      <x:c r="I160" t="n">
        <x:v>3.5</x:v>
      </x:c>
      <x:c r="J160" t="n">
        <x:v>5640</x:v>
      </x:c>
    </x:row>
    <x:row r="161" ht="15" hidden="0">
      <x:c r="A161" s="9" t="n">
        <x:v>45999</x:v>
      </x:c>
      <x:c r="B161" s="10" t="s">
        <x:v>85</x:v>
      </x:c>
      <x:c r="C161" s="10" t="s">
        <x:v>104</x:v>
      </x:c>
      <x:c r="D161" s="10" t="s">
        <x:v>81</x:v>
      </x:c>
      <x:c r="E161" s="10" t="s">
        <x:v>78</x:v>
      </x:c>
      <x:c r="F161" s="11" t="n">
        <x:v>792</x:v>
      </x:c>
      <x:c r="G161" s="11" t="n">
        <x:v>1073</x:v>
      </x:c>
      <x:c r="H161" s="10" t="s">
        <x:v>79</x:v>
      </x:c>
      <x:c r="I161" t="n">
        <x:v>4.5</x:v>
      </x:c>
      <x:c r="J161" t="n">
        <x:v>9598</x:v>
      </x:c>
    </x:row>
    <x:row r="162" ht="15" hidden="0">
      <x:c r="A162" s="9" t="n">
        <x:v>45978</x:v>
      </x:c>
      <x:c r="B162" s="10" t="s">
        <x:v>92</x:v>
      </x:c>
      <x:c r="C162" s="10" t="s">
        <x:v>105</x:v>
      </x:c>
      <x:c r="D162" s="10" t="s">
        <x:v>74</x:v>
      </x:c>
      <x:c r="E162" s="10" t="s">
        <x:v>75</x:v>
      </x:c>
      <x:c r="F162" s="11" t="n">
        <x:v>1680</x:v>
      </x:c>
      <x:c r="G162" s="11" t="n">
        <x:v>2240</x:v>
      </x:c>
      <x:c r="H162" s="10" t="s">
        <x:v>83</x:v>
      </x:c>
      <x:c r="I162" t="n">
        <x:v>4</x:v>
      </x:c>
      <x:c r="J162" t="n">
        <x:v>9597</x:v>
      </x:c>
    </x:row>
    <x:row r="163" ht="15" hidden="0">
      <x:c r="A163" s="9" t="n">
        <x:v>45978</x:v>
      </x:c>
      <x:c r="B163" s="10" t="s">
        <x:v>92</x:v>
      </x:c>
      <x:c r="C163" s="10" t="s">
        <x:v>105</x:v>
      </x:c>
      <x:c r="D163" s="10" t="s">
        <x:v>77</x:v>
      </x:c>
      <x:c r="E163" s="10" t="s">
        <x:v>75</x:v>
      </x:c>
      <x:c r="F163" s="11" t="n">
        <x:v>1595</x:v>
      </x:c>
      <x:c r="G163" s="11" t="n">
        <x:v>2356</x:v>
      </x:c>
      <x:c r="H163" s="10" t="s">
        <x:v>83</x:v>
      </x:c>
      <x:c r="I163" t="n">
        <x:v>4.2</x:v>
      </x:c>
      <x:c r="J163" t="n">
        <x:v>16865</x:v>
      </x:c>
    </x:row>
    <x:row r="164" ht="15" hidden="0">
      <x:c r="A164" s="9" t="n">
        <x:v>45978</x:v>
      </x:c>
      <x:c r="B164" s="10" t="s">
        <x:v>92</x:v>
      </x:c>
      <x:c r="C164" s="10" t="s">
        <x:v>105</x:v>
      </x:c>
      <x:c r="D164" s="10" t="s">
        <x:v>80</x:v>
      </x:c>
      <x:c r="E164" s="10" t="s">
        <x:v>78</x:v>
      </x:c>
      <x:c r="F164" s="11" t="n">
        <x:v>1879</x:v>
      </x:c>
      <x:c r="G164" s="11" t="n">
        <x:v>2052</x:v>
      </x:c>
      <x:c r="H164" s="10" t="s">
        <x:v>83</x:v>
      </x:c>
      <x:c r="I164" t="n">
        <x:v>4.1</x:v>
      </x:c>
      <x:c r="J164" t="n">
        <x:v>17816</x:v>
      </x:c>
    </x:row>
    <x:row r="165" ht="15" hidden="0">
      <x:c r="A165" s="9" t="n">
        <x:v>45978</x:v>
      </x:c>
      <x:c r="B165" s="10" t="s">
        <x:v>92</x:v>
      </x:c>
      <x:c r="C165" s="10" t="s">
        <x:v>105</x:v>
      </x:c>
      <x:c r="D165" s="10" t="s">
        <x:v>81</x:v>
      </x:c>
      <x:c r="E165" s="10" t="s">
        <x:v>82</x:v>
      </x:c>
      <x:c r="F165" s="11" t="n">
        <x:v>1948</x:v>
      </x:c>
      <x:c r="G165" s="11" t="n">
        <x:v>2157</x:v>
      </x:c>
      <x:c r="H165" s="10" t="s">
        <x:v>79</x:v>
      </x:c>
      <x:c r="I165" t="n">
        <x:v>4.3</x:v>
      </x:c>
      <x:c r="J165" t="n">
        <x:v>17988</x:v>
      </x:c>
    </x:row>
    <x:row r="166" ht="15" hidden="0">
      <x:c r="A166" s="9" t="n">
        <x:v>46041</x:v>
      </x:c>
      <x:c r="B166" s="10" t="s">
        <x:v>72</x:v>
      </x:c>
      <x:c r="C166" s="10" t="s">
        <x:v>84</x:v>
      </x:c>
      <x:c r="D166" s="10" t="s">
        <x:v>74</x:v>
      </x:c>
      <x:c r="E166" s="10" t="s">
        <x:v>82</x:v>
      </x:c>
      <x:c r="F166" s="11" t="n">
        <x:v>691</x:v>
      </x:c>
      <x:c r="G166" s="11" t="n">
        <x:v>802</x:v>
      </x:c>
      <x:c r="H166" s="10" t="s">
        <x:v>79</x:v>
      </x:c>
      <x:c r="I166" t="n">
        <x:v>3.4</x:v>
      </x:c>
      <x:c r="J166" t="n">
        <x:v>5813</x:v>
      </x:c>
    </x:row>
    <x:row r="167" ht="15" hidden="0">
      <x:c r="A167" s="9" t="n">
        <x:v>46041</x:v>
      </x:c>
      <x:c r="B167" s="10" t="s">
        <x:v>72</x:v>
      </x:c>
      <x:c r="C167" s="10" t="s">
        <x:v>84</x:v>
      </x:c>
      <x:c r="D167" s="10" t="s">
        <x:v>77</x:v>
      </x:c>
      <x:c r="E167" s="10" t="s">
        <x:v>75</x:v>
      </x:c>
      <x:c r="F167" s="11" t="n">
        <x:v>713</x:v>
      </x:c>
      <x:c r="G167" s="11" t="n">
        <x:v>934</x:v>
      </x:c>
      <x:c r="H167" s="10" t="s">
        <x:v>83</x:v>
      </x:c>
      <x:c r="I167" t="n">
        <x:v>4.2</x:v>
      </x:c>
      <x:c r="J167" t="n">
        <x:v>5716</x:v>
      </x:c>
    </x:row>
    <x:row r="168" ht="15" hidden="0">
      <x:c r="A168" s="9" t="n">
        <x:v>46041</x:v>
      </x:c>
      <x:c r="B168" s="10" t="s">
        <x:v>72</x:v>
      </x:c>
      <x:c r="C168" s="10" t="s">
        <x:v>84</x:v>
      </x:c>
      <x:c r="D168" s="10" t="s">
        <x:v>80</x:v>
      </x:c>
      <x:c r="E168" s="10" t="s">
        <x:v>78</x:v>
      </x:c>
      <x:c r="F168" s="11" t="n">
        <x:v>891</x:v>
      </x:c>
      <x:c r="G168" s="11" t="n">
        <x:v>1063</x:v>
      </x:c>
      <x:c r="H168" s="10" t="s">
        <x:v>83</x:v>
      </x:c>
      <x:c r="I168" t="n">
        <x:v>3.8</x:v>
      </x:c>
      <x:c r="J168" t="n">
        <x:v>11727</x:v>
      </x:c>
    </x:row>
    <x:row r="169" ht="15" hidden="0">
      <x:c r="A169" s="9" t="n">
        <x:v>46041</x:v>
      </x:c>
      <x:c r="B169" s="10" t="s">
        <x:v>72</x:v>
      </x:c>
      <x:c r="C169" s="10" t="s">
        <x:v>84</x:v>
      </x:c>
      <x:c r="D169" s="10" t="s">
        <x:v>81</x:v>
      </x:c>
      <x:c r="E169" s="10" t="s">
        <x:v>75</x:v>
      </x:c>
      <x:c r="F169" s="11" t="n">
        <x:v>734</x:v>
      </x:c>
      <x:c r="G169" s="11" t="n">
        <x:v>828</x:v>
      </x:c>
      <x:c r="H169" s="10" t="s">
        <x:v>76</x:v>
      </x:c>
      <x:c r="I169" t="n">
        <x:v>4.4</x:v>
      </x:c>
      <x:c r="J169" t="n">
        <x:v>17728</x:v>
      </x:c>
    </x:row>
    <x:row r="170" ht="15" hidden="0">
      <x:c r="A170" s="9" t="n">
        <x:v>46020</x:v>
      </x:c>
      <x:c r="B170" s="10" t="s">
        <x:v>85</x:v>
      </x:c>
      <x:c r="C170" s="10" t="s">
        <x:v>106</x:v>
      </x:c>
      <x:c r="D170" s="10" t="s">
        <x:v>74</x:v>
      </x:c>
      <x:c r="E170" s="10" t="s">
        <x:v>78</x:v>
      </x:c>
      <x:c r="F170" s="11" t="n">
        <x:v>157</x:v>
      </x:c>
      <x:c r="G170" s="11" t="n">
        <x:v>181</x:v>
      </x:c>
      <x:c r="H170" s="10" t="s">
        <x:v>83</x:v>
      </x:c>
      <x:c r="I170" t="n">
        <x:v>3.7</x:v>
      </x:c>
      <x:c r="J170" t="n">
        <x:v>6744</x:v>
      </x:c>
    </x:row>
    <x:row r="171" ht="15" hidden="0">
      <x:c r="A171" s="9" t="n">
        <x:v>46020</x:v>
      </x:c>
      <x:c r="B171" s="10" t="s">
        <x:v>85</x:v>
      </x:c>
      <x:c r="C171" s="10" t="s">
        <x:v>106</x:v>
      </x:c>
      <x:c r="D171" s="10" t="s">
        <x:v>77</x:v>
      </x:c>
      <x:c r="E171" s="10" t="s">
        <x:v>75</x:v>
      </x:c>
      <x:c r="F171" s="11" t="n">
        <x:v>156</x:v>
      </x:c>
      <x:c r="G171" s="11" t="n">
        <x:v>217</x:v>
      </x:c>
      <x:c r="H171" s="10" t="s">
        <x:v>83</x:v>
      </x:c>
      <x:c r="I171" t="n">
        <x:v>4.3</x:v>
      </x:c>
      <x:c r="J171" t="n">
        <x:v>19926</x:v>
      </x:c>
    </x:row>
    <x:row r="172" ht="15" hidden="0">
      <x:c r="A172" s="9" t="n">
        <x:v>46020</x:v>
      </x:c>
      <x:c r="B172" s="10" t="s">
        <x:v>85</x:v>
      </x:c>
      <x:c r="C172" s="10" t="s">
        <x:v>106</x:v>
      </x:c>
      <x:c r="D172" s="10" t="s">
        <x:v>80</x:v>
      </x:c>
      <x:c r="E172" s="10" t="s">
        <x:v>75</x:v>
      </x:c>
      <x:c r="F172" s="11" t="n">
        <x:v>141</x:v>
      </x:c>
      <x:c r="G172" s="11" t="n">
        <x:v>203</x:v>
      </x:c>
      <x:c r="H172" s="10" t="s">
        <x:v>79</x:v>
      </x:c>
      <x:c r="I172" t="n">
        <x:v>3.6</x:v>
      </x:c>
      <x:c r="J172" t="n">
        <x:v>2757</x:v>
      </x:c>
    </x:row>
    <x:row r="173" ht="15" hidden="0">
      <x:c r="A173" s="9" t="n">
        <x:v>46020</x:v>
      </x:c>
      <x:c r="B173" s="10" t="s">
        <x:v>85</x:v>
      </x:c>
      <x:c r="C173" s="10" t="s">
        <x:v>106</x:v>
      </x:c>
      <x:c r="D173" s="10" t="s">
        <x:v>81</x:v>
      </x:c>
      <x:c r="E173" s="10" t="s">
        <x:v>75</x:v>
      </x:c>
      <x:c r="F173" s="11" t="n">
        <x:v>158</x:v>
      </x:c>
      <x:c r="G173" s="11" t="n">
        <x:v>210</x:v>
      </x:c>
      <x:c r="H173" s="10" t="s">
        <x:v>83</x:v>
      </x:c>
      <x:c r="I173" t="n">
        <x:v>4.2</x:v>
      </x:c>
      <x:c r="J173" t="n">
        <x:v>13458</x:v>
      </x:c>
    </x:row>
    <x:row r="174" ht="15" hidden="0">
      <x:c r="A174" s="9" t="n">
        <x:v>46006</x:v>
      </x:c>
      <x:c r="B174" s="10" t="s">
        <x:v>92</x:v>
      </x:c>
      <x:c r="C174" s="10" t="s">
        <x:v>105</x:v>
      </x:c>
      <x:c r="D174" s="10" t="s">
        <x:v>74</x:v>
      </x:c>
      <x:c r="E174" s="10" t="s">
        <x:v>78</x:v>
      </x:c>
      <x:c r="F174" s="11" t="n">
        <x:v>1653</x:v>
      </x:c>
      <x:c r="G174" s="11" t="n">
        <x:v>2046</x:v>
      </x:c>
      <x:c r="H174" s="10" t="s">
        <x:v>76</x:v>
      </x:c>
      <x:c r="I174" t="n">
        <x:v>4.4</x:v>
      </x:c>
      <x:c r="J174" t="n">
        <x:v>3407</x:v>
      </x:c>
    </x:row>
    <x:row r="175" ht="15" hidden="0">
      <x:c r="A175" s="9" t="n">
        <x:v>46006</x:v>
      </x:c>
      <x:c r="B175" s="10" t="s">
        <x:v>92</x:v>
      </x:c>
      <x:c r="C175" s="10" t="s">
        <x:v>105</x:v>
      </x:c>
      <x:c r="D175" s="10" t="s">
        <x:v>77</x:v>
      </x:c>
      <x:c r="E175" s="10" t="s">
        <x:v>82</x:v>
      </x:c>
      <x:c r="F175" s="11" t="n">
        <x:v>1897</x:v>
      </x:c>
      <x:c r="G175" s="11" t="n">
        <x:v>2626</x:v>
      </x:c>
      <x:c r="H175" s="10" t="s">
        <x:v>83</x:v>
      </x:c>
      <x:c r="I175" t="n">
        <x:v>4.2</x:v>
      </x:c>
      <x:c r="J175" t="n">
        <x:v>19580</x:v>
      </x:c>
    </x:row>
    <x:row r="176" ht="15" hidden="0">
      <x:c r="A176" s="9" t="n">
        <x:v>46006</x:v>
      </x:c>
      <x:c r="B176" s="10" t="s">
        <x:v>92</x:v>
      </x:c>
      <x:c r="C176" s="10" t="s">
        <x:v>105</x:v>
      </x:c>
      <x:c r="D176" s="10" t="s">
        <x:v>80</x:v>
      </x:c>
      <x:c r="E176" s="10" t="s">
        <x:v>82</x:v>
      </x:c>
      <x:c r="F176" s="11" t="n">
        <x:v>2006</x:v>
      </x:c>
      <x:c r="G176" s="11" t="n">
        <x:v>2987</x:v>
      </x:c>
      <x:c r="H176" s="10" t="s">
        <x:v>83</x:v>
      </x:c>
      <x:c r="I176" t="n">
        <x:v>4.7</x:v>
      </x:c>
      <x:c r="J176" t="n">
        <x:v>7772</x:v>
      </x:c>
    </x:row>
    <x:row r="177" ht="15" hidden="0">
      <x:c r="A177" s="9" t="n">
        <x:v>46006</x:v>
      </x:c>
      <x:c r="B177" s="10" t="s">
        <x:v>92</x:v>
      </x:c>
      <x:c r="C177" s="10" t="s">
        <x:v>105</x:v>
      </x:c>
      <x:c r="D177" s="10" t="s">
        <x:v>81</x:v>
      </x:c>
      <x:c r="E177" s="10" t="s">
        <x:v>78</x:v>
      </x:c>
      <x:c r="F177" s="11" t="n">
        <x:v>1949</x:v>
      </x:c>
      <x:c r="G177" s="11" t="n">
        <x:v>2614</x:v>
      </x:c>
      <x:c r="H177" s="10" t="s">
        <x:v>83</x:v>
      </x:c>
      <x:c r="I177" t="n">
        <x:v>3.8</x:v>
      </x:c>
      <x:c r="J177" t="n">
        <x:v>13379</x:v>
      </x:c>
    </x:row>
    <x:row r="178" ht="15" hidden="0">
      <x:c r="A178" s="9" t="n">
        <x:v>45978</x:v>
      </x:c>
      <x:c r="B178" s="10" t="s">
        <x:v>97</x:v>
      </x:c>
      <x:c r="C178" s="10" t="s">
        <x:v>107</x:v>
      </x:c>
      <x:c r="D178" s="10" t="s">
        <x:v>74</x:v>
      </x:c>
      <x:c r="E178" s="10" t="s">
        <x:v>82</x:v>
      </x:c>
      <x:c r="F178" s="11" t="n">
        <x:v>4658</x:v>
      </x:c>
      <x:c r="G178" s="11" t="n">
        <x:v>6234</x:v>
      </x:c>
      <x:c r="H178" s="10" t="s">
        <x:v>79</x:v>
      </x:c>
      <x:c r="I178" t="n">
        <x:v>4.3</x:v>
      </x:c>
      <x:c r="J178" t="n">
        <x:v>9444</x:v>
      </x:c>
    </x:row>
    <x:row r="179" ht="15" hidden="0">
      <x:c r="A179" s="9" t="n">
        <x:v>45978</x:v>
      </x:c>
      <x:c r="B179" s="10" t="s">
        <x:v>97</x:v>
      </x:c>
      <x:c r="C179" s="10" t="s">
        <x:v>107</x:v>
      </x:c>
      <x:c r="D179" s="10" t="s">
        <x:v>77</x:v>
      </x:c>
      <x:c r="E179" s="10" t="s">
        <x:v>75</x:v>
      </x:c>
      <x:c r="F179" s="11" t="n">
        <x:v>3762</x:v>
      </x:c>
      <x:c r="G179" s="11" t="n">
        <x:v>5060</x:v>
      </x:c>
      <x:c r="H179" s="10" t="s">
        <x:v>83</x:v>
      </x:c>
      <x:c r="I179" t="n">
        <x:v>4.2</x:v>
      </x:c>
      <x:c r="J179" t="n">
        <x:v>19580</x:v>
      </x:c>
    </x:row>
    <x:row r="180" ht="15" hidden="0">
      <x:c r="A180" s="9" t="n">
        <x:v>45978</x:v>
      </x:c>
      <x:c r="B180" s="10" t="s">
        <x:v>97</x:v>
      </x:c>
      <x:c r="C180" s="10" t="s">
        <x:v>107</x:v>
      </x:c>
      <x:c r="D180" s="10" t="s">
        <x:v>80</x:v>
      </x:c>
      <x:c r="E180" s="10" t="s">
        <x:v>82</x:v>
      </x:c>
      <x:c r="F180" s="11" t="n">
        <x:v>3645</x:v>
      </x:c>
      <x:c r="G180" s="11" t="n">
        <x:v>5025</x:v>
      </x:c>
      <x:c r="H180" s="10" t="s">
        <x:v>83</x:v>
      </x:c>
      <x:c r="I180" t="n">
        <x:v>3.5</x:v>
      </x:c>
      <x:c r="J180" t="n">
        <x:v>14586</x:v>
      </x:c>
    </x:row>
    <x:row r="181" ht="15" hidden="0">
      <x:c r="A181" s="9" t="n">
        <x:v>45978</x:v>
      </x:c>
      <x:c r="B181" s="10" t="s">
        <x:v>97</x:v>
      </x:c>
      <x:c r="C181" s="10" t="s">
        <x:v>107</x:v>
      </x:c>
      <x:c r="D181" s="10" t="s">
        <x:v>81</x:v>
      </x:c>
      <x:c r="E181" s="10" t="s">
        <x:v>75</x:v>
      </x:c>
      <x:c r="F181" s="11" t="n">
        <x:v>4432</x:v>
      </x:c>
      <x:c r="G181" s="11" t="n">
        <x:v>5661</x:v>
      </x:c>
      <x:c r="H181" s="10" t="s">
        <x:v>83</x:v>
      </x:c>
      <x:c r="I181" t="n">
        <x:v>4.6</x:v>
      </x:c>
      <x:c r="J181" t="n">
        <x:v>3031</x:v>
      </x:c>
    </x:row>
    <x:row r="182" ht="15" hidden="0">
      <x:c r="A182" s="9" t="n">
        <x:v>46062</x:v>
      </x:c>
      <x:c r="B182" s="10" t="s">
        <x:v>85</x:v>
      </x:c>
      <x:c r="C182" s="10" t="s">
        <x:v>86</x:v>
      </x:c>
      <x:c r="D182" s="10" t="s">
        <x:v>74</x:v>
      </x:c>
      <x:c r="E182" s="10" t="s">
        <x:v>78</x:v>
      </x:c>
      <x:c r="F182" s="11" t="n">
        <x:v>473</x:v>
      </x:c>
      <x:c r="G182" s="11" t="n">
        <x:v>695</x:v>
      </x:c>
      <x:c r="H182" s="10" t="s">
        <x:v>83</x:v>
      </x:c>
      <x:c r="I182" t="n">
        <x:v>3.5</x:v>
      </x:c>
      <x:c r="J182" t="n">
        <x:v>8715</x:v>
      </x:c>
    </x:row>
    <x:row r="183" ht="15" hidden="0">
      <x:c r="A183" s="9" t="n">
        <x:v>46062</x:v>
      </x:c>
      <x:c r="B183" s="10" t="s">
        <x:v>85</x:v>
      </x:c>
      <x:c r="C183" s="10" t="s">
        <x:v>86</x:v>
      </x:c>
      <x:c r="D183" s="10" t="s">
        <x:v>77</x:v>
      </x:c>
      <x:c r="E183" s="10" t="s">
        <x:v>82</x:v>
      </x:c>
      <x:c r="F183" s="11" t="n">
        <x:v>484</x:v>
      </x:c>
      <x:c r="G183" s="11" t="n">
        <x:v>719</x:v>
      </x:c>
      <x:c r="H183" s="10" t="s">
        <x:v>83</x:v>
      </x:c>
      <x:c r="I183" t="n">
        <x:v>4.3</x:v>
      </x:c>
      <x:c r="J183" t="n">
        <x:v>8205</x:v>
      </x:c>
    </x:row>
    <x:row r="184" ht="15" hidden="0">
      <x:c r="A184" s="9" t="n">
        <x:v>46062</x:v>
      </x:c>
      <x:c r="B184" s="10" t="s">
        <x:v>85</x:v>
      </x:c>
      <x:c r="C184" s="10" t="s">
        <x:v>86</x:v>
      </x:c>
      <x:c r="D184" s="10" t="s">
        <x:v>80</x:v>
      </x:c>
      <x:c r="E184" s="10" t="s">
        <x:v>82</x:v>
      </x:c>
      <x:c r="F184" s="11" t="n">
        <x:v>471</x:v>
      </x:c>
      <x:c r="G184" s="11" t="n">
        <x:v>553</x:v>
      </x:c>
      <x:c r="H184" s="10" t="s">
        <x:v>76</x:v>
      </x:c>
      <x:c r="I184" t="n">
        <x:v>4.7</x:v>
      </x:c>
      <x:c r="J184" t="n">
        <x:v>7520</x:v>
      </x:c>
    </x:row>
    <x:row r="185" ht="15" hidden="0">
      <x:c r="A185" s="9" t="n">
        <x:v>46062</x:v>
      </x:c>
      <x:c r="B185" s="10" t="s">
        <x:v>85</x:v>
      </x:c>
      <x:c r="C185" s="10" t="s">
        <x:v>86</x:v>
      </x:c>
      <x:c r="D185" s="10" t="s">
        <x:v>81</x:v>
      </x:c>
      <x:c r="E185" s="10" t="s">
        <x:v>75</x:v>
      </x:c>
      <x:c r="F185" s="11" t="n">
        <x:v>407</x:v>
      </x:c>
      <x:c r="G185" s="11" t="n">
        <x:v>485</x:v>
      </x:c>
      <x:c r="H185" s="10" t="s">
        <x:v>83</x:v>
      </x:c>
      <x:c r="I185" t="n">
        <x:v>4.1</x:v>
      </x:c>
      <x:c r="J185" t="n">
        <x:v>10408</x:v>
      </x:c>
    </x:row>
    <x:row r="186" ht="15" hidden="0">
      <x:c r="A186" s="9" t="n">
        <x:v>46048</x:v>
      </x:c>
      <x:c r="B186" s="10" t="s">
        <x:v>97</x:v>
      </x:c>
      <x:c r="C186" s="10" t="s">
        <x:v>108</x:v>
      </x:c>
      <x:c r="D186" s="10" t="s">
        <x:v>74</x:v>
      </x:c>
      <x:c r="E186" s="10" t="s">
        <x:v>75</x:v>
      </x:c>
      <x:c r="F186" s="11" t="n">
        <x:v>3433</x:v>
      </x:c>
      <x:c r="G186" s="11" t="n">
        <x:v>4957</x:v>
      </x:c>
      <x:c r="H186" s="10" t="s">
        <x:v>83</x:v>
      </x:c>
      <x:c r="I186" t="n">
        <x:v>4.4</x:v>
      </x:c>
      <x:c r="J186" t="n">
        <x:v>10487</x:v>
      </x:c>
    </x:row>
    <x:row r="187" ht="15" hidden="0">
      <x:c r="A187" s="9" t="n">
        <x:v>46048</x:v>
      </x:c>
      <x:c r="B187" s="10" t="s">
        <x:v>97</x:v>
      </x:c>
      <x:c r="C187" s="10" t="s">
        <x:v>108</x:v>
      </x:c>
      <x:c r="D187" s="10" t="s">
        <x:v>77</x:v>
      </x:c>
      <x:c r="E187" s="10" t="s">
        <x:v>78</x:v>
      </x:c>
      <x:c r="F187" s="11" t="n">
        <x:v>3648</x:v>
      </x:c>
      <x:c r="G187" s="11" t="n">
        <x:v>4513</x:v>
      </x:c>
      <x:c r="H187" s="10" t="s">
        <x:v>76</x:v>
      </x:c>
      <x:c r="I187" t="n">
        <x:v>3.8</x:v>
      </x:c>
      <x:c r="J187" t="n">
        <x:v>14489</x:v>
      </x:c>
    </x:row>
    <x:row r="188" ht="15" hidden="0">
      <x:c r="A188" s="9" t="n">
        <x:v>46048</x:v>
      </x:c>
      <x:c r="B188" s="10" t="s">
        <x:v>97</x:v>
      </x:c>
      <x:c r="C188" s="10" t="s">
        <x:v>108</x:v>
      </x:c>
      <x:c r="D188" s="10" t="s">
        <x:v>80</x:v>
      </x:c>
      <x:c r="E188" s="10" t="s">
        <x:v>78</x:v>
      </x:c>
      <x:c r="F188" s="11" t="n">
        <x:v>4050</x:v>
      </x:c>
      <x:c r="G188" s="11" t="n">
        <x:v>5106</x:v>
      </x:c>
      <x:c r="H188" s="10" t="s">
        <x:v>83</x:v>
      </x:c>
      <x:c r="I188" t="n">
        <x:v>3.8</x:v>
      </x:c>
      <x:c r="J188" t="n">
        <x:v>1001</x:v>
      </x:c>
    </x:row>
    <x:row r="189" ht="15" hidden="0">
      <x:c r="A189" s="9" t="n">
        <x:v>46048</x:v>
      </x:c>
      <x:c r="B189" s="10" t="s">
        <x:v>97</x:v>
      </x:c>
      <x:c r="C189" s="10" t="s">
        <x:v>108</x:v>
      </x:c>
      <x:c r="D189" s="10" t="s">
        <x:v>81</x:v>
      </x:c>
      <x:c r="E189" s="10" t="s">
        <x:v>82</x:v>
      </x:c>
      <x:c r="F189" s="11" t="n">
        <x:v>3669</x:v>
      </x:c>
      <x:c r="G189" s="11" t="n">
        <x:v>4650</x:v>
      </x:c>
      <x:c r="H189" s="10" t="s">
        <x:v>83</x:v>
      </x:c>
      <x:c r="I189" t="n">
        <x:v>3.6</x:v>
      </x:c>
      <x:c r="J189" t="n">
        <x:v>14668</x:v>
      </x:c>
    </x:row>
    <x:row r="190" ht="15" hidden="0">
      <x:c r="A190" s="9" t="n">
        <x:v>46062</x:v>
      </x:c>
      <x:c r="B190" s="10" t="s">
        <x:v>88</x:v>
      </x:c>
      <x:c r="C190" s="10" t="s">
        <x:v>89</x:v>
      </x:c>
      <x:c r="D190" s="10" t="s">
        <x:v>74</x:v>
      </x:c>
      <x:c r="E190" s="10" t="s">
        <x:v>82</x:v>
      </x:c>
      <x:c r="F190" s="11" t="n">
        <x:v>2084</x:v>
      </x:c>
      <x:c r="G190" s="11" t="n">
        <x:v>2491</x:v>
      </x:c>
      <x:c r="H190" s="10" t="s">
        <x:v>76</x:v>
      </x:c>
      <x:c r="I190" t="n">
        <x:v>4.4</x:v>
      </x:c>
      <x:c r="J190" t="n">
        <x:v>16929</x:v>
      </x:c>
    </x:row>
    <x:row r="191" ht="15" hidden="0">
      <x:c r="A191" s="9" t="n">
        <x:v>46062</x:v>
      </x:c>
      <x:c r="B191" s="10" t="s">
        <x:v>88</x:v>
      </x:c>
      <x:c r="C191" s="10" t="s">
        <x:v>89</x:v>
      </x:c>
      <x:c r="D191" s="10" t="s">
        <x:v>77</x:v>
      </x:c>
      <x:c r="E191" s="10" t="s">
        <x:v>78</x:v>
      </x:c>
      <x:c r="F191" s="11" t="n">
        <x:v>1992</x:v>
      </x:c>
      <x:c r="G191" s="11" t="n">
        <x:v>2279</x:v>
      </x:c>
      <x:c r="H191" s="10" t="s">
        <x:v>76</x:v>
      </x:c>
      <x:c r="I191" t="n">
        <x:v>4.5</x:v>
      </x:c>
      <x:c r="J191" t="n">
        <x:v>17159</x:v>
      </x:c>
    </x:row>
    <x:row r="192" ht="15" hidden="0">
      <x:c r="A192" s="9" t="n">
        <x:v>46062</x:v>
      </x:c>
      <x:c r="B192" s="10" t="s">
        <x:v>88</x:v>
      </x:c>
      <x:c r="C192" s="10" t="s">
        <x:v>89</x:v>
      </x:c>
      <x:c r="D192" s="10" t="s">
        <x:v>80</x:v>
      </x:c>
      <x:c r="E192" s="10" t="s">
        <x:v>78</x:v>
      </x:c>
      <x:c r="F192" s="11" t="n">
        <x:v>2128</x:v>
      </x:c>
      <x:c r="G192" s="11" t="n">
        <x:v>2472</x:v>
      </x:c>
      <x:c r="H192" s="10" t="s">
        <x:v>79</x:v>
      </x:c>
      <x:c r="I192" t="n">
        <x:v>3.9</x:v>
      </x:c>
      <x:c r="J192" t="n">
        <x:v>19246</x:v>
      </x:c>
    </x:row>
    <x:row r="193" ht="15" hidden="0">
      <x:c r="A193" s="9" t="n">
        <x:v>46062</x:v>
      </x:c>
      <x:c r="B193" s="10" t="s">
        <x:v>88</x:v>
      </x:c>
      <x:c r="C193" s="10" t="s">
        <x:v>89</x:v>
      </x:c>
      <x:c r="D193" s="10" t="s">
        <x:v>81</x:v>
      </x:c>
      <x:c r="E193" s="10" t="s">
        <x:v>78</x:v>
      </x:c>
      <x:c r="F193" s="11" t="n">
        <x:v>2384</x:v>
      </x:c>
      <x:c r="G193" s="11" t="n">
        <x:v>3140</x:v>
      </x:c>
      <x:c r="H193" s="10" t="s">
        <x:v>79</x:v>
      </x:c>
      <x:c r="I193" t="n">
        <x:v>3.7</x:v>
      </x:c>
      <x:c r="J193" t="n">
        <x:v>9454</x:v>
      </x:c>
    </x:row>
    <x:row r="194" ht="15" hidden="0">
      <x:c r="A194" s="9" t="n">
        <x:v>45950</x:v>
      </x:c>
      <x:c r="B194" s="10" t="s">
        <x:v>92</x:v>
      </x:c>
      <x:c r="C194" s="10" t="s">
        <x:v>109</x:v>
      </x:c>
      <x:c r="D194" s="10" t="s">
        <x:v>74</x:v>
      </x:c>
      <x:c r="E194" s="10" t="s">
        <x:v>82</x:v>
      </x:c>
      <x:c r="F194" s="11" t="n">
        <x:v>2973</x:v>
      </x:c>
      <x:c r="G194" s="11" t="n">
        <x:v>3392</x:v>
      </x:c>
      <x:c r="H194" s="10" t="s">
        <x:v>79</x:v>
      </x:c>
      <x:c r="I194" t="n">
        <x:v>4.3</x:v>
      </x:c>
      <x:c r="J194" t="n">
        <x:v>5407</x:v>
      </x:c>
    </x:row>
    <x:row r="195" ht="15" hidden="0">
      <x:c r="A195" s="9" t="n">
        <x:v>45950</x:v>
      </x:c>
      <x:c r="B195" s="10" t="s">
        <x:v>92</x:v>
      </x:c>
      <x:c r="C195" s="10" t="s">
        <x:v>109</x:v>
      </x:c>
      <x:c r="D195" s="10" t="s">
        <x:v>77</x:v>
      </x:c>
      <x:c r="E195" s="10" t="s">
        <x:v>75</x:v>
      </x:c>
      <x:c r="F195" s="11" t="n">
        <x:v>2946</x:v>
      </x:c>
      <x:c r="G195" s="11" t="n">
        <x:v>3354</x:v>
      </x:c>
      <x:c r="H195" s="10" t="s">
        <x:v>83</x:v>
      </x:c>
      <x:c r="I195" t="n">
        <x:v>3.8</x:v>
      </x:c>
      <x:c r="J195" t="n">
        <x:v>11679</x:v>
      </x:c>
    </x:row>
    <x:row r="196" ht="15" hidden="0">
      <x:c r="A196" s="9" t="n">
        <x:v>45950</x:v>
      </x:c>
      <x:c r="B196" s="10" t="s">
        <x:v>92</x:v>
      </x:c>
      <x:c r="C196" s="10" t="s">
        <x:v>109</x:v>
      </x:c>
      <x:c r="D196" s="10" t="s">
        <x:v>80</x:v>
      </x:c>
      <x:c r="E196" s="10" t="s">
        <x:v>75</x:v>
      </x:c>
      <x:c r="F196" s="11" t="n">
        <x:v>2465</x:v>
      </x:c>
      <x:c r="G196" s="11" t="n">
        <x:v>2605</x:v>
      </x:c>
      <x:c r="H196" s="10" t="s">
        <x:v>83</x:v>
      </x:c>
      <x:c r="I196" t="n">
        <x:v>3.5</x:v>
      </x:c>
      <x:c r="J196" t="n">
        <x:v>9279</x:v>
      </x:c>
    </x:row>
    <x:row r="197" ht="15" hidden="0">
      <x:c r="A197" s="9" t="n">
        <x:v>45950</x:v>
      </x:c>
      <x:c r="B197" s="10" t="s">
        <x:v>92</x:v>
      </x:c>
      <x:c r="C197" s="10" t="s">
        <x:v>109</x:v>
      </x:c>
      <x:c r="D197" s="10" t="s">
        <x:v>81</x:v>
      </x:c>
      <x:c r="E197" s="10" t="s">
        <x:v>75</x:v>
      </x:c>
      <x:c r="F197" s="11" t="n">
        <x:v>2359</x:v>
      </x:c>
      <x:c r="G197" s="11" t="n">
        <x:v>2881</x:v>
      </x:c>
      <x:c r="H197" s="10" t="s">
        <x:v>76</x:v>
      </x:c>
      <x:c r="I197" t="n">
        <x:v>4.7</x:v>
      </x:c>
      <x:c r="J197" t="n">
        <x:v>3160</x:v>
      </x:c>
    </x:row>
    <x:row r="198" ht="15" hidden="0">
      <x:c r="A198" s="9" t="n">
        <x:v>46048</x:v>
      </x:c>
      <x:c r="B198" s="10" t="s">
        <x:v>97</x:v>
      </x:c>
      <x:c r="C198" s="10" t="s">
        <x:v>101</x:v>
      </x:c>
      <x:c r="D198" s="10" t="s">
        <x:v>74</x:v>
      </x:c>
      <x:c r="E198" s="10" t="s">
        <x:v>78</x:v>
      </x:c>
      <x:c r="F198" s="11" t="n">
        <x:v>4566</x:v>
      </x:c>
      <x:c r="G198" s="11" t="n">
        <x:v>4915</x:v>
      </x:c>
      <x:c r="H198" s="10" t="s">
        <x:v>83</x:v>
      </x:c>
      <x:c r="I198" t="n">
        <x:v>4.4</x:v>
      </x:c>
      <x:c r="J198" t="n">
        <x:v>11823</x:v>
      </x:c>
    </x:row>
    <x:row r="199" ht="15" hidden="0">
      <x:c r="A199" s="9" t="n">
        <x:v>46048</x:v>
      </x:c>
      <x:c r="B199" s="10" t="s">
        <x:v>97</x:v>
      </x:c>
      <x:c r="C199" s="10" t="s">
        <x:v>101</x:v>
      </x:c>
      <x:c r="D199" s="10" t="s">
        <x:v>77</x:v>
      </x:c>
      <x:c r="E199" s="10" t="s">
        <x:v>75</x:v>
      </x:c>
      <x:c r="F199" s="11" t="n">
        <x:v>4627</x:v>
      </x:c>
      <x:c r="G199" s="11" t="n">
        <x:v>5850</x:v>
      </x:c>
      <x:c r="H199" s="10" t="s">
        <x:v>79</x:v>
      </x:c>
      <x:c r="I199" t="n">
        <x:v>4</x:v>
      </x:c>
      <x:c r="J199" t="n">
        <x:v>19448</x:v>
      </x:c>
    </x:row>
    <x:row r="200" ht="15" hidden="0">
      <x:c r="A200" s="9" t="n">
        <x:v>46048</x:v>
      </x:c>
      <x:c r="B200" s="10" t="s">
        <x:v>97</x:v>
      </x:c>
      <x:c r="C200" s="10" t="s">
        <x:v>101</x:v>
      </x:c>
      <x:c r="D200" s="10" t="s">
        <x:v>80</x:v>
      </x:c>
      <x:c r="E200" s="10" t="s">
        <x:v>75</x:v>
      </x:c>
      <x:c r="F200" s="11" t="n">
        <x:v>4451</x:v>
      </x:c>
      <x:c r="G200" s="11" t="n">
        <x:v>5924</x:v>
      </x:c>
      <x:c r="H200" s="10" t="s">
        <x:v>76</x:v>
      </x:c>
      <x:c r="I200" t="n">
        <x:v>3.8</x:v>
      </x:c>
      <x:c r="J200" t="n">
        <x:v>11091</x:v>
      </x:c>
    </x:row>
    <x:row r="201" ht="15" hidden="0">
      <x:c r="A201" s="9" t="n">
        <x:v>46048</x:v>
      </x:c>
      <x:c r="B201" s="10" t="s">
        <x:v>97</x:v>
      </x:c>
      <x:c r="C201" s="10" t="s">
        <x:v>101</x:v>
      </x:c>
      <x:c r="D201" s="10" t="s">
        <x:v>81</x:v>
      </x:c>
      <x:c r="E201" s="10" t="s">
        <x:v>75</x:v>
      </x:c>
      <x:c r="F201" s="11" t="n">
        <x:v>5016</x:v>
      </x:c>
      <x:c r="G201" s="11" t="n">
        <x:v>7154</x:v>
      </x:c>
      <x:c r="H201" s="10" t="s">
        <x:v>83</x:v>
      </x:c>
      <x:c r="I201" t="n">
        <x:v>4.4</x:v>
      </x:c>
      <x:c r="J201" t="n">
        <x:v>7792</x:v>
      </x:c>
    </x:row>
    <x:row r="202" ht="15" hidden="0">
      <x:c r="A202" s="9" t="n">
        <x:v>46006</x:v>
      </x:c>
      <x:c r="B202" s="10" t="s">
        <x:v>88</x:v>
      </x:c>
      <x:c r="C202" s="10" t="s">
        <x:v>89</x:v>
      </x:c>
      <x:c r="D202" s="10" t="s">
        <x:v>74</x:v>
      </x:c>
      <x:c r="E202" s="10" t="s">
        <x:v>82</x:v>
      </x:c>
      <x:c r="F202" s="11" t="n">
        <x:v>1812</x:v>
      </x:c>
      <x:c r="G202" s="11" t="n">
        <x:v>2693</x:v>
      </x:c>
      <x:c r="H202" s="10" t="s">
        <x:v>79</x:v>
      </x:c>
      <x:c r="I202" t="n">
        <x:v>3.9</x:v>
      </x:c>
      <x:c r="J202" t="n">
        <x:v>6711</x:v>
      </x:c>
    </x:row>
    <x:row r="203" ht="15" hidden="0">
      <x:c r="A203" s="9" t="n">
        <x:v>46006</x:v>
      </x:c>
      <x:c r="B203" s="10" t="s">
        <x:v>88</x:v>
      </x:c>
      <x:c r="C203" s="10" t="s">
        <x:v>89</x:v>
      </x:c>
      <x:c r="D203" s="10" t="s">
        <x:v>77</x:v>
      </x:c>
      <x:c r="E203" s="10" t="s">
        <x:v>78</x:v>
      </x:c>
      <x:c r="F203" s="11" t="n">
        <x:v>1724</x:v>
      </x:c>
      <x:c r="G203" s="11" t="n">
        <x:v>2425</x:v>
      </x:c>
      <x:c r="H203" s="10" t="s">
        <x:v>79</x:v>
      </x:c>
      <x:c r="I203" t="n">
        <x:v>3.5</x:v>
      </x:c>
      <x:c r="J203" t="n">
        <x:v>14790</x:v>
      </x:c>
    </x:row>
    <x:row r="204" ht="15" hidden="0">
      <x:c r="A204" s="9" t="n">
        <x:v>46006</x:v>
      </x:c>
      <x:c r="B204" s="10" t="s">
        <x:v>88</x:v>
      </x:c>
      <x:c r="C204" s="10" t="s">
        <x:v>89</x:v>
      </x:c>
      <x:c r="D204" s="10" t="s">
        <x:v>80</x:v>
      </x:c>
      <x:c r="E204" s="10" t="s">
        <x:v>82</x:v>
      </x:c>
      <x:c r="F204" s="11" t="n">
        <x:v>1596</x:v>
      </x:c>
      <x:c r="G204" s="11" t="n">
        <x:v>2111</x:v>
      </x:c>
      <x:c r="H204" s="10" t="s">
        <x:v>79</x:v>
      </x:c>
      <x:c r="I204" t="n">
        <x:v>4</x:v>
      </x:c>
      <x:c r="J204" t="n">
        <x:v>11968</x:v>
      </x:c>
    </x:row>
    <x:row r="205" ht="15" hidden="0">
      <x:c r="A205" s="9" t="n">
        <x:v>46006</x:v>
      </x:c>
      <x:c r="B205" s="10" t="s">
        <x:v>88</x:v>
      </x:c>
      <x:c r="C205" s="10" t="s">
        <x:v>89</x:v>
      </x:c>
      <x:c r="D205" s="10" t="s">
        <x:v>81</x:v>
      </x:c>
      <x:c r="E205" s="10" t="s">
        <x:v>82</x:v>
      </x:c>
      <x:c r="F205" s="11" t="n">
        <x:v>1938</x:v>
      </x:c>
      <x:c r="G205" s="11" t="n">
        <x:v>2887</x:v>
      </x:c>
      <x:c r="H205" s="10" t="s">
        <x:v>76</x:v>
      </x:c>
      <x:c r="I205" t="n">
        <x:v>4.2</x:v>
      </x:c>
      <x:c r="J205" t="n">
        <x:v>17448</x:v>
      </x:c>
    </x:row>
    <x:row r="206" ht="15" hidden="0">
      <x:c r="A206" s="9" t="n">
        <x:v>46041</x:v>
      </x:c>
      <x:c r="B206" s="10" t="s">
        <x:v>88</x:v>
      </x:c>
      <x:c r="C206" s="10" t="s">
        <x:v>89</x:v>
      </x:c>
      <x:c r="D206" s="10" t="s">
        <x:v>74</x:v>
      </x:c>
      <x:c r="E206" s="10" t="s">
        <x:v>78</x:v>
      </x:c>
      <x:c r="F206" s="11" t="n">
        <x:v>2053</x:v>
      </x:c>
      <x:c r="G206" s="11" t="n">
        <x:v>2733</x:v>
      </x:c>
      <x:c r="H206" s="10" t="s">
        <x:v>83</x:v>
      </x:c>
      <x:c r="I206" t="n">
        <x:v>4.7</x:v>
      </x:c>
      <x:c r="J206" t="n">
        <x:v>15953</x:v>
      </x:c>
    </x:row>
    <x:row r="207" ht="15" hidden="0">
      <x:c r="A207" s="9" t="n">
        <x:v>46041</x:v>
      </x:c>
      <x:c r="B207" s="10" t="s">
        <x:v>88</x:v>
      </x:c>
      <x:c r="C207" s="10" t="s">
        <x:v>89</x:v>
      </x:c>
      <x:c r="D207" s="10" t="s">
        <x:v>77</x:v>
      </x:c>
      <x:c r="E207" s="10" t="s">
        <x:v>75</x:v>
      </x:c>
      <x:c r="F207" s="11" t="n">
        <x:v>1800</x:v>
      </x:c>
      <x:c r="G207" s="11" t="n">
        <x:v>1997</x:v>
      </x:c>
      <x:c r="H207" s="10" t="s">
        <x:v>83</x:v>
      </x:c>
      <x:c r="I207" t="n">
        <x:v>3.9</x:v>
      </x:c>
      <x:c r="J207" t="n">
        <x:v>18205</x:v>
      </x:c>
    </x:row>
    <x:row r="208" ht="15" hidden="0">
      <x:c r="A208" s="9" t="n">
        <x:v>46041</x:v>
      </x:c>
      <x:c r="B208" s="10" t="s">
        <x:v>88</x:v>
      </x:c>
      <x:c r="C208" s="10" t="s">
        <x:v>89</x:v>
      </x:c>
      <x:c r="D208" s="10" t="s">
        <x:v>80</x:v>
      </x:c>
      <x:c r="E208" s="10" t="s">
        <x:v>78</x:v>
      </x:c>
      <x:c r="F208" s="11" t="n">
        <x:v>1979</x:v>
      </x:c>
      <x:c r="G208" s="11" t="n">
        <x:v>2564</x:v>
      </x:c>
      <x:c r="H208" s="10" t="s">
        <x:v>83</x:v>
      </x:c>
      <x:c r="I208" t="n">
        <x:v>4.6</x:v>
      </x:c>
      <x:c r="J208" t="n">
        <x:v>3602</x:v>
      </x:c>
    </x:row>
    <x:row r="209" ht="15" hidden="0">
      <x:c r="A209" s="9" t="n">
        <x:v>46041</x:v>
      </x:c>
      <x:c r="B209" s="10" t="s">
        <x:v>88</x:v>
      </x:c>
      <x:c r="C209" s="10" t="s">
        <x:v>89</x:v>
      </x:c>
      <x:c r="D209" s="10" t="s">
        <x:v>81</x:v>
      </x:c>
      <x:c r="E209" s="10" t="s">
        <x:v>82</x:v>
      </x:c>
      <x:c r="F209" s="11" t="n">
        <x:v>2047</x:v>
      </x:c>
      <x:c r="G209" s="11" t="n">
        <x:v>2644</x:v>
      </x:c>
      <x:c r="H209" s="10" t="s">
        <x:v>83</x:v>
      </x:c>
      <x:c r="I209" t="n">
        <x:v>4.4</x:v>
      </x:c>
      <x:c r="J209" t="n">
        <x:v>2868</x:v>
      </x:c>
    </x:row>
    <x:row r="210" ht="15" hidden="0">
      <x:c r="A210" s="9" t="n">
        <x:v>45936</x:v>
      </x:c>
      <x:c r="B210" s="10" t="s">
        <x:v>88</x:v>
      </x:c>
      <x:c r="C210" s="10" t="s">
        <x:v>89</x:v>
      </x:c>
      <x:c r="D210" s="10" t="s">
        <x:v>74</x:v>
      </x:c>
      <x:c r="E210" s="10" t="s">
        <x:v>75</x:v>
      </x:c>
      <x:c r="F210" s="11" t="n">
        <x:v>1018</x:v>
      </x:c>
      <x:c r="G210" s="11" t="n">
        <x:v>1372</x:v>
      </x:c>
      <x:c r="H210" s="10" t="s">
        <x:v>83</x:v>
      </x:c>
      <x:c r="I210" t="n">
        <x:v>3.5</x:v>
      </x:c>
      <x:c r="J210" t="n">
        <x:v>2658</x:v>
      </x:c>
    </x:row>
    <x:row r="211" ht="15" hidden="0">
      <x:c r="A211" s="9" t="n">
        <x:v>45936</x:v>
      </x:c>
      <x:c r="B211" s="10" t="s">
        <x:v>88</x:v>
      </x:c>
      <x:c r="C211" s="10" t="s">
        <x:v>89</x:v>
      </x:c>
      <x:c r="D211" s="10" t="s">
        <x:v>77</x:v>
      </x:c>
      <x:c r="E211" s="10" t="s">
        <x:v>75</x:v>
      </x:c>
      <x:c r="F211" s="11" t="n">
        <x:v>1274</x:v>
      </x:c>
      <x:c r="G211" s="11" t="n">
        <x:v>1887</x:v>
      </x:c>
      <x:c r="H211" s="10" t="s">
        <x:v>79</x:v>
      </x:c>
      <x:c r="I211" t="n">
        <x:v>3.4</x:v>
      </x:c>
      <x:c r="J211" t="n">
        <x:v>13662</x:v>
      </x:c>
    </x:row>
    <x:row r="212" ht="15" hidden="0">
      <x:c r="A212" s="9" t="n">
        <x:v>45936</x:v>
      </x:c>
      <x:c r="B212" s="10" t="s">
        <x:v>88</x:v>
      </x:c>
      <x:c r="C212" s="10" t="s">
        <x:v>89</x:v>
      </x:c>
      <x:c r="D212" s="10" t="s">
        <x:v>80</x:v>
      </x:c>
      <x:c r="E212" s="10" t="s">
        <x:v>82</x:v>
      </x:c>
      <x:c r="F212" s="11" t="n">
        <x:v>1122</x:v>
      </x:c>
      <x:c r="G212" s="11" t="n">
        <x:v>1279</x:v>
      </x:c>
      <x:c r="H212" s="10" t="s">
        <x:v>83</x:v>
      </x:c>
      <x:c r="I212" t="n">
        <x:v>3.5</x:v>
      </x:c>
      <x:c r="J212" t="n">
        <x:v>7056</x:v>
      </x:c>
    </x:row>
    <x:row r="213" ht="15" hidden="0">
      <x:c r="A213" s="9" t="n">
        <x:v>45936</x:v>
      </x:c>
      <x:c r="B213" s="10" t="s">
        <x:v>88</x:v>
      </x:c>
      <x:c r="C213" s="10" t="s">
        <x:v>89</x:v>
      </x:c>
      <x:c r="D213" s="10" t="s">
        <x:v>81</x:v>
      </x:c>
      <x:c r="E213" s="10" t="s">
        <x:v>75</x:v>
      </x:c>
      <x:c r="F213" s="11" t="n">
        <x:v>1255</x:v>
      </x:c>
      <x:c r="G213" s="11" t="n">
        <x:v>1663</x:v>
      </x:c>
      <x:c r="H213" s="10" t="s">
        <x:v>83</x:v>
      </x:c>
      <x:c r="I213" t="n">
        <x:v>4.6</x:v>
      </x:c>
      <x:c r="J213" t="n">
        <x:v>2430</x:v>
      </x:c>
    </x:row>
    <x:row r="214" ht="15" hidden="0">
      <x:c r="A214" s="9" t="n">
        <x:v>45950</x:v>
      </x:c>
      <x:c r="B214" s="10" t="s">
        <x:v>97</x:v>
      </x:c>
      <x:c r="C214" s="10" t="s">
        <x:v>101</x:v>
      </x:c>
      <x:c r="D214" s="10" t="s">
        <x:v>74</x:v>
      </x:c>
      <x:c r="E214" s="10" t="s">
        <x:v>75</x:v>
      </x:c>
      <x:c r="F214" s="11" t="n">
        <x:v>8686</x:v>
      </x:c>
      <x:c r="G214" s="11" t="n">
        <x:v>11239</x:v>
      </x:c>
      <x:c r="H214" s="10" t="s">
        <x:v>79</x:v>
      </x:c>
      <x:c r="I214" t="n">
        <x:v>3.5</x:v>
      </x:c>
      <x:c r="J214" t="n">
        <x:v>2552</x:v>
      </x:c>
    </x:row>
    <x:row r="215" ht="15" hidden="0">
      <x:c r="A215" s="9" t="n">
        <x:v>45950</x:v>
      </x:c>
      <x:c r="B215" s="10" t="s">
        <x:v>97</x:v>
      </x:c>
      <x:c r="C215" s="10" t="s">
        <x:v>101</x:v>
      </x:c>
      <x:c r="D215" s="10" t="s">
        <x:v>77</x:v>
      </x:c>
      <x:c r="E215" s="10" t="s">
        <x:v>78</x:v>
      </x:c>
      <x:c r="F215" s="11" t="n">
        <x:v>10004</x:v>
      </x:c>
      <x:c r="G215" s="11" t="n">
        <x:v>14462</x:v>
      </x:c>
      <x:c r="H215" s="10" t="s">
        <x:v>83</x:v>
      </x:c>
      <x:c r="I215" t="n">
        <x:v>4.2</x:v>
      </x:c>
      <x:c r="J215" t="n">
        <x:v>439</x:v>
      </x:c>
    </x:row>
    <x:row r="216" ht="15" hidden="0">
      <x:c r="A216" s="9" t="n">
        <x:v>45950</x:v>
      </x:c>
      <x:c r="B216" s="10" t="s">
        <x:v>97</x:v>
      </x:c>
      <x:c r="C216" s="10" t="s">
        <x:v>101</x:v>
      </x:c>
      <x:c r="D216" s="10" t="s">
        <x:v>80</x:v>
      </x:c>
      <x:c r="E216" s="10" t="s">
        <x:v>78</x:v>
      </x:c>
      <x:c r="F216" s="11" t="n">
        <x:v>8583</x:v>
      </x:c>
      <x:c r="G216" s="11" t="n">
        <x:v>9247</x:v>
      </x:c>
      <x:c r="H216" s="10" t="s">
        <x:v>83</x:v>
      </x:c>
      <x:c r="I216" t="n">
        <x:v>3.7</x:v>
      </x:c>
      <x:c r="J216" t="n">
        <x:v>671</x:v>
      </x:c>
    </x:row>
    <x:row r="217" ht="15" hidden="0">
      <x:c r="A217" s="9" t="n">
        <x:v>45950</x:v>
      </x:c>
      <x:c r="B217" s="10" t="s">
        <x:v>97</x:v>
      </x:c>
      <x:c r="C217" s="10" t="s">
        <x:v>101</x:v>
      </x:c>
      <x:c r="D217" s="10" t="s">
        <x:v>81</x:v>
      </x:c>
      <x:c r="E217" s="10" t="s">
        <x:v>75</x:v>
      </x:c>
      <x:c r="F217" s="11" t="n">
        <x:v>9735</x:v>
      </x:c>
      <x:c r="G217" s="11" t="n">
        <x:v>11317</x:v>
      </x:c>
      <x:c r="H217" s="10" t="s">
        <x:v>79</x:v>
      </x:c>
      <x:c r="I217" t="n">
        <x:v>3.4</x:v>
      </x:c>
      <x:c r="J217" t="n">
        <x:v>13493</x:v>
      </x:c>
    </x:row>
    <x:row r="218" ht="15" hidden="0">
      <x:c r="A218" s="9" t="n">
        <x:v>46062</x:v>
      </x:c>
      <x:c r="B218" s="10" t="s">
        <x:v>85</x:v>
      </x:c>
      <x:c r="C218" s="10" t="s">
        <x:v>106</x:v>
      </x:c>
      <x:c r="D218" s="10" t="s">
        <x:v>74</x:v>
      </x:c>
      <x:c r="E218" s="10" t="s">
        <x:v>82</x:v>
      </x:c>
      <x:c r="F218" s="11" t="n">
        <x:v>146</x:v>
      </x:c>
      <x:c r="G218" s="11" t="n">
        <x:v>198</x:v>
      </x:c>
      <x:c r="H218" s="10" t="s">
        <x:v>83</x:v>
      </x:c>
      <x:c r="I218" t="n">
        <x:v>4.2</x:v>
      </x:c>
      <x:c r="J218" t="n">
        <x:v>5313</x:v>
      </x:c>
    </x:row>
    <x:row r="219" ht="15" hidden="0">
      <x:c r="A219" s="9" t="n">
        <x:v>46062</x:v>
      </x:c>
      <x:c r="B219" s="10" t="s">
        <x:v>85</x:v>
      </x:c>
      <x:c r="C219" s="10" t="s">
        <x:v>106</x:v>
      </x:c>
      <x:c r="D219" s="10" t="s">
        <x:v>77</x:v>
      </x:c>
      <x:c r="E219" s="10" t="s">
        <x:v>75</x:v>
      </x:c>
      <x:c r="F219" s="11" t="n">
        <x:v>136</x:v>
      </x:c>
      <x:c r="G219" s="11" t="n">
        <x:v>145</x:v>
      </x:c>
      <x:c r="H219" s="10" t="s">
        <x:v>83</x:v>
      </x:c>
      <x:c r="I219" t="n">
        <x:v>3.6</x:v>
      </x:c>
      <x:c r="J219" t="n">
        <x:v>16221</x:v>
      </x:c>
    </x:row>
    <x:row r="220" ht="15" hidden="0">
      <x:c r="A220" s="9" t="n">
        <x:v>46062</x:v>
      </x:c>
      <x:c r="B220" s="10" t="s">
        <x:v>85</x:v>
      </x:c>
      <x:c r="C220" s="10" t="s">
        <x:v>106</x:v>
      </x:c>
      <x:c r="D220" s="10" t="s">
        <x:v>80</x:v>
      </x:c>
      <x:c r="E220" s="10" t="s">
        <x:v>75</x:v>
      </x:c>
      <x:c r="F220" s="11" t="n">
        <x:v>147</x:v>
      </x:c>
      <x:c r="G220" s="11" t="n">
        <x:v>178</x:v>
      </x:c>
      <x:c r="H220" s="10" t="s">
        <x:v>83</x:v>
      </x:c>
      <x:c r="I220" t="n">
        <x:v>4.4</x:v>
      </x:c>
      <x:c r="J220" t="n">
        <x:v>16397</x:v>
      </x:c>
    </x:row>
    <x:row r="221" ht="15" hidden="0">
      <x:c r="A221" s="9" t="n">
        <x:v>46062</x:v>
      </x:c>
      <x:c r="B221" s="10" t="s">
        <x:v>85</x:v>
      </x:c>
      <x:c r="C221" s="10" t="s">
        <x:v>106</x:v>
      </x:c>
      <x:c r="D221" s="10" t="s">
        <x:v>81</x:v>
      </x:c>
      <x:c r="E221" s="10" t="s">
        <x:v>78</x:v>
      </x:c>
      <x:c r="F221" s="11" t="n">
        <x:v>138</x:v>
      </x:c>
      <x:c r="G221" s="11" t="n">
        <x:v>164</x:v>
      </x:c>
      <x:c r="H221" s="10" t="s">
        <x:v>76</x:v>
      </x:c>
      <x:c r="I221" t="n">
        <x:v>4.2</x:v>
      </x:c>
      <x:c r="J221" t="n">
        <x:v>6790</x:v>
      </x:c>
    </x:row>
    <x:row r="222" ht="15" hidden="0">
      <x:c r="A222" s="9" t="n">
        <x:v>45971</x:v>
      </x:c>
      <x:c r="B222" s="10" t="s">
        <x:v>85</x:v>
      </x:c>
      <x:c r="C222" s="10" t="s">
        <x:v>87</x:v>
      </x:c>
      <x:c r="D222" s="10" t="s">
        <x:v>74</x:v>
      </x:c>
      <x:c r="E222" s="10" t="s">
        <x:v>75</x:v>
      </x:c>
      <x:c r="F222" s="11" t="n">
        <x:v>344</x:v>
      </x:c>
      <x:c r="G222" s="11" t="n">
        <x:v>515</x:v>
      </x:c>
      <x:c r="H222" s="10" t="s">
        <x:v>83</x:v>
      </x:c>
      <x:c r="I222" t="n">
        <x:v>4.3</x:v>
      </x:c>
      <x:c r="J222" t="n">
        <x:v>2312</x:v>
      </x:c>
    </x:row>
    <x:row r="223" ht="15" hidden="0">
      <x:c r="A223" s="9" t="n">
        <x:v>45971</x:v>
      </x:c>
      <x:c r="B223" s="10" t="s">
        <x:v>85</x:v>
      </x:c>
      <x:c r="C223" s="10" t="s">
        <x:v>87</x:v>
      </x:c>
      <x:c r="D223" s="10" t="s">
        <x:v>77</x:v>
      </x:c>
      <x:c r="E223" s="10" t="s">
        <x:v>82</x:v>
      </x:c>
      <x:c r="F223" s="11" t="n">
        <x:v>311</x:v>
      </x:c>
      <x:c r="G223" s="11" t="n">
        <x:v>425</x:v>
      </x:c>
      <x:c r="H223" s="10" t="s">
        <x:v>79</x:v>
      </x:c>
      <x:c r="I223" t="n">
        <x:v>3.7</x:v>
      </x:c>
      <x:c r="J223" t="n">
        <x:v>14746</x:v>
      </x:c>
    </x:row>
    <x:row r="224" ht="15" hidden="0">
      <x:c r="A224" s="9" t="n">
        <x:v>45971</x:v>
      </x:c>
      <x:c r="B224" s="10" t="s">
        <x:v>85</x:v>
      </x:c>
      <x:c r="C224" s="10" t="s">
        <x:v>87</x:v>
      </x:c>
      <x:c r="D224" s="10" t="s">
        <x:v>80</x:v>
      </x:c>
      <x:c r="E224" s="10" t="s">
        <x:v>78</x:v>
      </x:c>
      <x:c r="F224" s="11" t="n">
        <x:v>370</x:v>
      </x:c>
      <x:c r="G224" s="11" t="n">
        <x:v>483</x:v>
      </x:c>
      <x:c r="H224" s="10" t="s">
        <x:v>83</x:v>
      </x:c>
      <x:c r="I224" t="n">
        <x:v>3.5</x:v>
      </x:c>
      <x:c r="J224" t="n">
        <x:v>8423</x:v>
      </x:c>
    </x:row>
    <x:row r="225" ht="15" hidden="0">
      <x:c r="A225" s="9" t="n">
        <x:v>45971</x:v>
      </x:c>
      <x:c r="B225" s="10" t="s">
        <x:v>85</x:v>
      </x:c>
      <x:c r="C225" s="10" t="s">
        <x:v>87</x:v>
      </x:c>
      <x:c r="D225" s="10" t="s">
        <x:v>81</x:v>
      </x:c>
      <x:c r="E225" s="10" t="s">
        <x:v>78</x:v>
      </x:c>
      <x:c r="F225" s="11" t="n">
        <x:v>340</x:v>
      </x:c>
      <x:c r="G225" s="11" t="n">
        <x:v>448</x:v>
      </x:c>
      <x:c r="H225" s="10" t="s">
        <x:v>83</x:v>
      </x:c>
      <x:c r="I225" t="n">
        <x:v>4.6</x:v>
      </x:c>
      <x:c r="J225" t="n">
        <x:v>12897</x:v>
      </x:c>
    </x:row>
    <x:row r="226" ht="15" hidden="0">
      <x:c r="A226" s="9" t="n">
        <x:v>46069</x:v>
      </x:c>
      <x:c r="B226" s="10" t="s">
        <x:v>92</x:v>
      </x:c>
      <x:c r="C226" s="10" t="s">
        <x:v>93</x:v>
      </x:c>
      <x:c r="D226" s="10" t="s">
        <x:v>74</x:v>
      </x:c>
      <x:c r="E226" s="10" t="s">
        <x:v>75</x:v>
      </x:c>
      <x:c r="F226" s="11" t="n">
        <x:v>1697</x:v>
      </x:c>
      <x:c r="G226" s="11" t="n">
        <x:v>2263</x:v>
      </x:c>
      <x:c r="H226" s="10" t="s">
        <x:v>83</x:v>
      </x:c>
      <x:c r="I226" t="n">
        <x:v>3.7</x:v>
      </x:c>
      <x:c r="J226" t="n">
        <x:v>4616</x:v>
      </x:c>
    </x:row>
    <x:row r="227" ht="15" hidden="0">
      <x:c r="A227" s="9" t="n">
        <x:v>46069</x:v>
      </x:c>
      <x:c r="B227" s="10" t="s">
        <x:v>92</x:v>
      </x:c>
      <x:c r="C227" s="10" t="s">
        <x:v>93</x:v>
      </x:c>
      <x:c r="D227" s="10" t="s">
        <x:v>77</x:v>
      </x:c>
      <x:c r="E227" s="10" t="s">
        <x:v>82</x:v>
      </x:c>
      <x:c r="F227" s="11" t="n">
        <x:v>1579</x:v>
      </x:c>
      <x:c r="G227" s="11" t="n">
        <x:v>2165</x:v>
      </x:c>
      <x:c r="H227" s="10" t="s">
        <x:v>79</x:v>
      </x:c>
      <x:c r="I227" t="n">
        <x:v>3.9</x:v>
      </x:c>
      <x:c r="J227" t="n">
        <x:v>12646</x:v>
      </x:c>
    </x:row>
    <x:row r="228" ht="15" hidden="0">
      <x:c r="A228" s="9" t="n">
        <x:v>46069</x:v>
      </x:c>
      <x:c r="B228" s="10" t="s">
        <x:v>92</x:v>
      </x:c>
      <x:c r="C228" s="10" t="s">
        <x:v>93</x:v>
      </x:c>
      <x:c r="D228" s="10" t="s">
        <x:v>80</x:v>
      </x:c>
      <x:c r="E228" s="10" t="s">
        <x:v>78</x:v>
      </x:c>
      <x:c r="F228" s="11" t="n">
        <x:v>1578</x:v>
      </x:c>
      <x:c r="G228" s="11" t="n">
        <x:v>2125</x:v>
      </x:c>
      <x:c r="H228" s="10" t="s">
        <x:v>83</x:v>
      </x:c>
      <x:c r="I228" t="n">
        <x:v>3.8</x:v>
      </x:c>
      <x:c r="J228" t="n">
        <x:v>558</x:v>
      </x:c>
    </x:row>
    <x:row r="229" ht="15" hidden="0">
      <x:c r="A229" s="9" t="n">
        <x:v>46069</x:v>
      </x:c>
      <x:c r="B229" s="10" t="s">
        <x:v>92</x:v>
      </x:c>
      <x:c r="C229" s="10" t="s">
        <x:v>93</x:v>
      </x:c>
      <x:c r="D229" s="10" t="s">
        <x:v>81</x:v>
      </x:c>
      <x:c r="E229" s="10" t="s">
        <x:v>78</x:v>
      </x:c>
      <x:c r="F229" s="11" t="n">
        <x:v>1561</x:v>
      </x:c>
      <x:c r="G229" s="11" t="n">
        <x:v>2125</x:v>
      </x:c>
      <x:c r="H229" s="10" t="s">
        <x:v>83</x:v>
      </x:c>
      <x:c r="I229" t="n">
        <x:v>3.4</x:v>
      </x:c>
      <x:c r="J229" t="n">
        <x:v>8144</x:v>
      </x:c>
    </x:row>
    <x:row r="230" ht="15" hidden="0">
      <x:c r="A230" s="9" t="n">
        <x:v>45957</x:v>
      </x:c>
      <x:c r="B230" s="10" t="s">
        <x:v>85</x:v>
      </x:c>
      <x:c r="C230" s="10" t="s">
        <x:v>106</x:v>
      </x:c>
      <x:c r="D230" s="10" t="s">
        <x:v>74</x:v>
      </x:c>
      <x:c r="E230" s="10" t="s">
        <x:v>75</x:v>
      </x:c>
      <x:c r="F230" s="11" t="n">
        <x:v>246</x:v>
      </x:c>
      <x:c r="G230" s="11" t="n">
        <x:v>265</x:v>
      </x:c>
      <x:c r="H230" s="10" t="s">
        <x:v>79</x:v>
      </x:c>
      <x:c r="I230" t="n">
        <x:v>3.6</x:v>
      </x:c>
      <x:c r="J230" t="n">
        <x:v>18342</x:v>
      </x:c>
    </x:row>
    <x:row r="231" ht="15" hidden="0">
      <x:c r="A231" s="9" t="n">
        <x:v>45957</x:v>
      </x:c>
      <x:c r="B231" s="10" t="s">
        <x:v>85</x:v>
      </x:c>
      <x:c r="C231" s="10" t="s">
        <x:v>106</x:v>
      </x:c>
      <x:c r="D231" s="10" t="s">
        <x:v>77</x:v>
      </x:c>
      <x:c r="E231" s="10" t="s">
        <x:v>82</x:v>
      </x:c>
      <x:c r="F231" s="11" t="n">
        <x:v>227</x:v>
      </x:c>
      <x:c r="G231" s="11" t="n">
        <x:v>269</x:v>
      </x:c>
      <x:c r="H231" s="10" t="s">
        <x:v>83</x:v>
      </x:c>
      <x:c r="I231" t="n">
        <x:v>3.7</x:v>
      </x:c>
      <x:c r="J231" t="n">
        <x:v>14254</x:v>
      </x:c>
    </x:row>
    <x:row r="232" ht="15" hidden="0">
      <x:c r="A232" s="9" t="n">
        <x:v>45957</x:v>
      </x:c>
      <x:c r="B232" s="10" t="s">
        <x:v>85</x:v>
      </x:c>
      <x:c r="C232" s="10" t="s">
        <x:v>106</x:v>
      </x:c>
      <x:c r="D232" s="10" t="s">
        <x:v>80</x:v>
      </x:c>
      <x:c r="E232" s="10" t="s">
        <x:v>78</x:v>
      </x:c>
      <x:c r="F232" s="11" t="n">
        <x:v>219</x:v>
      </x:c>
      <x:c r="G232" s="11" t="n">
        <x:v>279</x:v>
      </x:c>
      <x:c r="H232" s="10" t="s">
        <x:v>76</x:v>
      </x:c>
      <x:c r="I232" t="n">
        <x:v>4.4</x:v>
      </x:c>
      <x:c r="J232" t="n">
        <x:v>16732</x:v>
      </x:c>
    </x:row>
    <x:row r="233" ht="15" hidden="0">
      <x:c r="A233" s="9" t="n">
        <x:v>45957</x:v>
      </x:c>
      <x:c r="B233" s="10" t="s">
        <x:v>85</x:v>
      </x:c>
      <x:c r="C233" s="10" t="s">
        <x:v>106</x:v>
      </x:c>
      <x:c r="D233" s="10" t="s">
        <x:v>81</x:v>
      </x:c>
      <x:c r="E233" s="10" t="s">
        <x:v>75</x:v>
      </x:c>
      <x:c r="F233" s="11" t="n">
        <x:v>225</x:v>
      </x:c>
      <x:c r="G233" s="11" t="n">
        <x:v>254</x:v>
      </x:c>
      <x:c r="H233" s="10" t="s">
        <x:v>79</x:v>
      </x:c>
      <x:c r="I233" t="n">
        <x:v>3.9</x:v>
      </x:c>
      <x:c r="J233" t="n">
        <x:v>14005</x:v>
      </x:c>
    </x:row>
    <x:row r="234" ht="15" hidden="0">
      <x:c r="A234" s="9" t="n">
        <x:v>46034</x:v>
      </x:c>
      <x:c r="B234" s="10" t="s">
        <x:v>92</x:v>
      </x:c>
      <x:c r="C234" s="10" t="s">
        <x:v>109</x:v>
      </x:c>
      <x:c r="D234" s="10" t="s">
        <x:v>74</x:v>
      </x:c>
      <x:c r="E234" s="10" t="s">
        <x:v>78</x:v>
      </x:c>
      <x:c r="F234" s="11" t="n">
        <x:v>3694</x:v>
      </x:c>
      <x:c r="G234" s="11" t="n">
        <x:v>5062</x:v>
      </x:c>
      <x:c r="H234" s="10" t="s">
        <x:v>76</x:v>
      </x:c>
      <x:c r="I234" t="n">
        <x:v>3.6</x:v>
      </x:c>
      <x:c r="J234" t="n">
        <x:v>7765</x:v>
      </x:c>
    </x:row>
    <x:row r="235" ht="15" hidden="0">
      <x:c r="A235" s="9" t="n">
        <x:v>46034</x:v>
      </x:c>
      <x:c r="B235" s="10" t="s">
        <x:v>92</x:v>
      </x:c>
      <x:c r="C235" s="10" t="s">
        <x:v>109</x:v>
      </x:c>
      <x:c r="D235" s="10" t="s">
        <x:v>77</x:v>
      </x:c>
      <x:c r="E235" s="10" t="s">
        <x:v>75</x:v>
      </x:c>
      <x:c r="F235" s="11" t="n">
        <x:v>3557</x:v>
      </x:c>
      <x:c r="G235" s="11" t="n">
        <x:v>4801</x:v>
      </x:c>
      <x:c r="H235" s="10" t="s">
        <x:v>76</x:v>
      </x:c>
      <x:c r="I235" t="n">
        <x:v>4.7</x:v>
      </x:c>
      <x:c r="J235" t="n">
        <x:v>11639</x:v>
      </x:c>
    </x:row>
    <x:row r="236" ht="15" hidden="0">
      <x:c r="A236" s="9" t="n">
        <x:v>46034</x:v>
      </x:c>
      <x:c r="B236" s="10" t="s">
        <x:v>92</x:v>
      </x:c>
      <x:c r="C236" s="10" t="s">
        <x:v>109</x:v>
      </x:c>
      <x:c r="D236" s="10" t="s">
        <x:v>80</x:v>
      </x:c>
      <x:c r="E236" s="10" t="s">
        <x:v>78</x:v>
      </x:c>
      <x:c r="F236" s="11" t="n">
        <x:v>3234</x:v>
      </x:c>
      <x:c r="G236" s="11" t="n">
        <x:v>4280</x:v>
      </x:c>
      <x:c r="H236" s="10" t="s">
        <x:v>83</x:v>
      </x:c>
      <x:c r="I236" t="n">
        <x:v>4.1</x:v>
      </x:c>
      <x:c r="J236" t="n">
        <x:v>15587</x:v>
      </x:c>
    </x:row>
    <x:row r="237" ht="15" hidden="0">
      <x:c r="A237" s="9" t="n">
        <x:v>46034</x:v>
      </x:c>
      <x:c r="B237" s="10" t="s">
        <x:v>92</x:v>
      </x:c>
      <x:c r="C237" s="10" t="s">
        <x:v>109</x:v>
      </x:c>
      <x:c r="D237" s="10" t="s">
        <x:v>81</x:v>
      </x:c>
      <x:c r="E237" s="10" t="s">
        <x:v>75</x:v>
      </x:c>
      <x:c r="F237" s="11" t="n">
        <x:v>3217</x:v>
      </x:c>
      <x:c r="G237" s="11" t="n">
        <x:v>3492</x:v>
      </x:c>
      <x:c r="H237" s="10" t="s">
        <x:v>83</x:v>
      </x:c>
      <x:c r="I237" t="n">
        <x:v>4.4</x:v>
      </x:c>
      <x:c r="J237" t="n">
        <x:v>9655</x:v>
      </x:c>
    </x:row>
    <x:row r="238" ht="15" hidden="0">
      <x:c r="A238" s="9" t="n">
        <x:v>45957</x:v>
      </x:c>
      <x:c r="B238" s="10" t="s">
        <x:v>88</x:v>
      </x:c>
      <x:c r="C238" s="10" t="s">
        <x:v>99</x:v>
      </x:c>
      <x:c r="D238" s="10" t="s">
        <x:v>74</x:v>
      </x:c>
      <x:c r="E238" s="10" t="s">
        <x:v>78</x:v>
      </x:c>
      <x:c r="F238" s="11" t="n">
        <x:v>824</x:v>
      </x:c>
      <x:c r="G238" s="11" t="n">
        <x:v>1144</x:v>
      </x:c>
      <x:c r="H238" s="10" t="s">
        <x:v>79</x:v>
      </x:c>
      <x:c r="I238" t="n">
        <x:v>3.4</x:v>
      </x:c>
      <x:c r="J238" t="n">
        <x:v>6421</x:v>
      </x:c>
    </x:row>
    <x:row r="239" ht="15" hidden="0">
      <x:c r="A239" s="9" t="n">
        <x:v>45957</x:v>
      </x:c>
      <x:c r="B239" s="10" t="s">
        <x:v>88</x:v>
      </x:c>
      <x:c r="C239" s="10" t="s">
        <x:v>99</x:v>
      </x:c>
      <x:c r="D239" s="10" t="s">
        <x:v>77</x:v>
      </x:c>
      <x:c r="E239" s="10" t="s">
        <x:v>75</x:v>
      </x:c>
      <x:c r="F239" s="11" t="n">
        <x:v>1004</x:v>
      </x:c>
      <x:c r="G239" s="11" t="n">
        <x:v>1233</x:v>
      </x:c>
      <x:c r="H239" s="10" t="s">
        <x:v>79</x:v>
      </x:c>
      <x:c r="I239" t="n">
        <x:v>4.6</x:v>
      </x:c>
      <x:c r="J239" t="n">
        <x:v>13481</x:v>
      </x:c>
    </x:row>
    <x:row r="240" ht="15" hidden="0">
      <x:c r="A240" s="9" t="n">
        <x:v>45957</x:v>
      </x:c>
      <x:c r="B240" s="10" t="s">
        <x:v>88</x:v>
      </x:c>
      <x:c r="C240" s="10" t="s">
        <x:v>99</x:v>
      </x:c>
      <x:c r="D240" s="10" t="s">
        <x:v>80</x:v>
      </x:c>
      <x:c r="E240" s="10" t="s">
        <x:v>75</x:v>
      </x:c>
      <x:c r="F240" s="11" t="n">
        <x:v>914</x:v>
      </x:c>
      <x:c r="G240" s="11" t="n">
        <x:v>1012</x:v>
      </x:c>
      <x:c r="H240" s="10" t="s">
        <x:v>83</x:v>
      </x:c>
      <x:c r="I240" t="n">
        <x:v>3.9</x:v>
      </x:c>
      <x:c r="J240" t="n">
        <x:v>9217</x:v>
      </x:c>
    </x:row>
    <x:row r="241" ht="15" hidden="0">
      <x:c r="A241" s="9" t="n">
        <x:v>45957</x:v>
      </x:c>
      <x:c r="B241" s="10" t="s">
        <x:v>88</x:v>
      </x:c>
      <x:c r="C241" s="10" t="s">
        <x:v>99</x:v>
      </x:c>
      <x:c r="D241" s="10" t="s">
        <x:v>81</x:v>
      </x:c>
      <x:c r="E241" s="10" t="s">
        <x:v>75</x:v>
      </x:c>
      <x:c r="F241" s="11" t="n">
        <x:v>923</x:v>
      </x:c>
      <x:c r="G241" s="11" t="n">
        <x:v>1158</x:v>
      </x:c>
      <x:c r="H241" s="10" t="s">
        <x:v>79</x:v>
      </x:c>
      <x:c r="I241" t="n">
        <x:v>3.9</x:v>
      </x:c>
      <x:c r="J241" t="n">
        <x:v>6064</x:v>
      </x:c>
    </x:row>
    <x:row r="242" ht="15" hidden="0">
      <x:c r="A242" s="9" t="n">
        <x:v>45999</x:v>
      </x:c>
      <x:c r="B242" s="10" t="s">
        <x:v>72</x:v>
      </x:c>
      <x:c r="C242" s="10" t="s">
        <x:v>100</x:v>
      </x:c>
      <x:c r="D242" s="10" t="s">
        <x:v>74</x:v>
      </x:c>
      <x:c r="E242" s="10" t="s">
        <x:v>75</x:v>
      </x:c>
      <x:c r="F242" s="11" t="n">
        <x:v>1684</x:v>
      </x:c>
      <x:c r="G242" s="11" t="n">
        <x:v>1943</x:v>
      </x:c>
      <x:c r="H242" s="10" t="s">
        <x:v>76</x:v>
      </x:c>
      <x:c r="I242" t="n">
        <x:v>4</x:v>
      </x:c>
      <x:c r="J242" t="n">
        <x:v>3193</x:v>
      </x:c>
    </x:row>
    <x:row r="243" ht="15" hidden="0">
      <x:c r="A243" s="9" t="n">
        <x:v>45999</x:v>
      </x:c>
      <x:c r="B243" s="10" t="s">
        <x:v>72</x:v>
      </x:c>
      <x:c r="C243" s="10" t="s">
        <x:v>100</x:v>
      </x:c>
      <x:c r="D243" s="10" t="s">
        <x:v>77</x:v>
      </x:c>
      <x:c r="E243" s="10" t="s">
        <x:v>78</x:v>
      </x:c>
      <x:c r="F243" s="11" t="n">
        <x:v>1573</x:v>
      </x:c>
      <x:c r="G243" s="11" t="n">
        <x:v>1773</x:v>
      </x:c>
      <x:c r="H243" s="10" t="s">
        <x:v>83</x:v>
      </x:c>
      <x:c r="I243" t="n">
        <x:v>3.7</x:v>
      </x:c>
      <x:c r="J243" t="n">
        <x:v>12966</x:v>
      </x:c>
    </x:row>
    <x:row r="244" ht="15" hidden="0">
      <x:c r="A244" s="9" t="n">
        <x:v>45999</x:v>
      </x:c>
      <x:c r="B244" s="10" t="s">
        <x:v>72</x:v>
      </x:c>
      <x:c r="C244" s="10" t="s">
        <x:v>100</x:v>
      </x:c>
      <x:c r="D244" s="10" t="s">
        <x:v>80</x:v>
      </x:c>
      <x:c r="E244" s="10" t="s">
        <x:v>78</x:v>
      </x:c>
      <x:c r="F244" s="11" t="n">
        <x:v>1770</x:v>
      </x:c>
      <x:c r="G244" s="11" t="n">
        <x:v>1861</x:v>
      </x:c>
      <x:c r="H244" s="10" t="s">
        <x:v>83</x:v>
      </x:c>
      <x:c r="I244" t="n">
        <x:v>3.6</x:v>
      </x:c>
      <x:c r="J244" t="n">
        <x:v>11104</x:v>
      </x:c>
    </x:row>
    <x:row r="245" ht="15" hidden="0">
      <x:c r="A245" s="9" t="n">
        <x:v>45999</x:v>
      </x:c>
      <x:c r="B245" s="10" t="s">
        <x:v>72</x:v>
      </x:c>
      <x:c r="C245" s="10" t="s">
        <x:v>100</x:v>
      </x:c>
      <x:c r="D245" s="10" t="s">
        <x:v>81</x:v>
      </x:c>
      <x:c r="E245" s="10" t="s">
        <x:v>75</x:v>
      </x:c>
      <x:c r="F245" s="11" t="n">
        <x:v>1632</x:v>
      </x:c>
      <x:c r="G245" s="11" t="n">
        <x:v>2021</x:v>
      </x:c>
      <x:c r="H245" s="10" t="s">
        <x:v>83</x:v>
      </x:c>
      <x:c r="I245" t="n">
        <x:v>3.9</x:v>
      </x:c>
      <x:c r="J245" t="n">
        <x:v>1472</x:v>
      </x:c>
    </x:row>
    <x:row r="246" ht="15" hidden="0">
      <x:c r="A246" s="9" t="n">
        <x:v>45957</x:v>
      </x:c>
      <x:c r="B246" s="10" t="s">
        <x:v>88</x:v>
      </x:c>
      <x:c r="C246" s="10" t="s">
        <x:v>110</x:v>
      </x:c>
      <x:c r="D246" s="10" t="s">
        <x:v>74</x:v>
      </x:c>
      <x:c r="E246" s="10" t="s">
        <x:v>78</x:v>
      </x:c>
      <x:c r="F246" s="11" t="n">
        <x:v>237</x:v>
      </x:c>
      <x:c r="G246" s="11" t="n">
        <x:v>328</x:v>
      </x:c>
      <x:c r="H246" s="10" t="s">
        <x:v>79</x:v>
      </x:c>
      <x:c r="I246" t="n">
        <x:v>4.4</x:v>
      </x:c>
      <x:c r="J246" t="n">
        <x:v>8490</x:v>
      </x:c>
    </x:row>
    <x:row r="247" ht="15" hidden="0">
      <x:c r="A247" s="9" t="n">
        <x:v>45957</x:v>
      </x:c>
      <x:c r="B247" s="10" t="s">
        <x:v>88</x:v>
      </x:c>
      <x:c r="C247" s="10" t="s">
        <x:v>110</x:v>
      </x:c>
      <x:c r="D247" s="10" t="s">
        <x:v>77</x:v>
      </x:c>
      <x:c r="E247" s="10" t="s">
        <x:v>78</x:v>
      </x:c>
      <x:c r="F247" s="11" t="n">
        <x:v>212</x:v>
      </x:c>
      <x:c r="G247" s="11" t="n">
        <x:v>284</x:v>
      </x:c>
      <x:c r="H247" s="10" t="s">
        <x:v>79</x:v>
      </x:c>
      <x:c r="I247" t="n">
        <x:v>3.8</x:v>
      </x:c>
      <x:c r="J247" t="n">
        <x:v>9747</x:v>
      </x:c>
    </x:row>
    <x:row r="248" ht="15" hidden="0">
      <x:c r="A248" s="9" t="n">
        <x:v>45957</x:v>
      </x:c>
      <x:c r="B248" s="10" t="s">
        <x:v>88</x:v>
      </x:c>
      <x:c r="C248" s="10" t="s">
        <x:v>110</x:v>
      </x:c>
      <x:c r="D248" s="10" t="s">
        <x:v>80</x:v>
      </x:c>
      <x:c r="E248" s="10" t="s">
        <x:v>78</x:v>
      </x:c>
      <x:c r="F248" s="11" t="n">
        <x:v>209</x:v>
      </x:c>
      <x:c r="G248" s="11" t="n">
        <x:v>261</x:v>
      </x:c>
      <x:c r="H248" s="10" t="s">
        <x:v>76</x:v>
      </x:c>
      <x:c r="I248" t="n">
        <x:v>4.6</x:v>
      </x:c>
      <x:c r="J248" t="n">
        <x:v>9467</x:v>
      </x:c>
    </x:row>
    <x:row r="249" ht="15" hidden="0">
      <x:c r="A249" s="9" t="n">
        <x:v>45957</x:v>
      </x:c>
      <x:c r="B249" s="10" t="s">
        <x:v>88</x:v>
      </x:c>
      <x:c r="C249" s="10" t="s">
        <x:v>110</x:v>
      </x:c>
      <x:c r="D249" s="10" t="s">
        <x:v>81</x:v>
      </x:c>
      <x:c r="E249" s="10" t="s">
        <x:v>82</x:v>
      </x:c>
      <x:c r="F249" s="11" t="n">
        <x:v>256</x:v>
      </x:c>
      <x:c r="G249" s="11" t="n">
        <x:v>379</x:v>
      </x:c>
      <x:c r="H249" s="10" t="s">
        <x:v>83</x:v>
      </x:c>
      <x:c r="I249" t="n">
        <x:v>4.5</x:v>
      </x:c>
      <x:c r="J249" t="n">
        <x:v>5330</x:v>
      </x:c>
    </x:row>
    <x:row r="250" ht="15" hidden="0">
      <x:c r="A250" s="9" t="n">
        <x:v>46069</x:v>
      </x:c>
      <x:c r="B250" s="10" t="s">
        <x:v>97</x:v>
      </x:c>
      <x:c r="C250" s="10" t="s">
        <x:v>111</x:v>
      </x:c>
      <x:c r="D250" s="10" t="s">
        <x:v>74</x:v>
      </x:c>
      <x:c r="E250" s="10" t="s">
        <x:v>75</x:v>
      </x:c>
      <x:c r="F250" s="11" t="n">
        <x:v>1326</x:v>
      </x:c>
      <x:c r="G250" s="11" t="n">
        <x:v>1592</x:v>
      </x:c>
      <x:c r="H250" s="10" t="s">
        <x:v>83</x:v>
      </x:c>
      <x:c r="I250" t="n">
        <x:v>3.4</x:v>
      </x:c>
      <x:c r="J250" t="n">
        <x:v>1255</x:v>
      </x:c>
    </x:row>
    <x:row r="251" ht="15" hidden="0">
      <x:c r="A251" s="9" t="n">
        <x:v>46069</x:v>
      </x:c>
      <x:c r="B251" s="10" t="s">
        <x:v>97</x:v>
      </x:c>
      <x:c r="C251" s="10" t="s">
        <x:v>111</x:v>
      </x:c>
      <x:c r="D251" s="10" t="s">
        <x:v>77</x:v>
      </x:c>
      <x:c r="E251" s="10" t="s">
        <x:v>75</x:v>
      </x:c>
      <x:c r="F251" s="11" t="n">
        <x:v>1454</x:v>
      </x:c>
      <x:c r="G251" s="11" t="n">
        <x:v>1756</x:v>
      </x:c>
      <x:c r="H251" s="10" t="s">
        <x:v>83</x:v>
      </x:c>
      <x:c r="I251" t="n">
        <x:v>3.6</x:v>
      </x:c>
      <x:c r="J251" t="n">
        <x:v>12238</x:v>
      </x:c>
    </x:row>
    <x:row r="252" ht="15" hidden="0">
      <x:c r="A252" s="9" t="n">
        <x:v>46069</x:v>
      </x:c>
      <x:c r="B252" s="10" t="s">
        <x:v>97</x:v>
      </x:c>
      <x:c r="C252" s="10" t="s">
        <x:v>111</x:v>
      </x:c>
      <x:c r="D252" s="10" t="s">
        <x:v>80</x:v>
      </x:c>
      <x:c r="E252" s="10" t="s">
        <x:v>78</x:v>
      </x:c>
      <x:c r="F252" s="11" t="n">
        <x:v>1542</x:v>
      </x:c>
      <x:c r="G252" s="11" t="n">
        <x:v>2034</x:v>
      </x:c>
      <x:c r="H252" s="10" t="s">
        <x:v>83</x:v>
      </x:c>
      <x:c r="I252" t="n">
        <x:v>4.1</x:v>
      </x:c>
      <x:c r="J252" t="n">
        <x:v>6130</x:v>
      </x:c>
    </x:row>
    <x:row r="253" ht="15" hidden="0">
      <x:c r="A253" s="9" t="n">
        <x:v>46069</x:v>
      </x:c>
      <x:c r="B253" s="10" t="s">
        <x:v>97</x:v>
      </x:c>
      <x:c r="C253" s="10" t="s">
        <x:v>111</x:v>
      </x:c>
      <x:c r="D253" s="10" t="s">
        <x:v>81</x:v>
      </x:c>
      <x:c r="E253" s="10" t="s">
        <x:v>75</x:v>
      </x:c>
      <x:c r="F253" s="11" t="n">
        <x:v>1395</x:v>
      </x:c>
      <x:c r="G253" s="11" t="n">
        <x:v>1721</x:v>
      </x:c>
      <x:c r="H253" s="10" t="s">
        <x:v>83</x:v>
      </x:c>
      <x:c r="I253" t="n">
        <x:v>4</x:v>
      </x:c>
      <x:c r="J253" t="n">
        <x:v>7695</x:v>
      </x:c>
    </x:row>
    <x:row r="254" ht="15" hidden="0">
      <x:c r="A254" s="9" t="n">
        <x:v>45985</x:v>
      </x:c>
      <x:c r="B254" s="10" t="s">
        <x:v>72</x:v>
      </x:c>
      <x:c r="C254" s="10" t="s">
        <x:v>90</x:v>
      </x:c>
      <x:c r="D254" s="10" t="s">
        <x:v>74</x:v>
      </x:c>
      <x:c r="E254" s="10" t="s">
        <x:v>75</x:v>
      </x:c>
      <x:c r="F254" s="11" t="n">
        <x:v>3790</x:v>
      </x:c>
      <x:c r="G254" s="11" t="n">
        <x:v>5157</x:v>
      </x:c>
      <x:c r="H254" s="10" t="s">
        <x:v>79</x:v>
      </x:c>
      <x:c r="I254" t="n">
        <x:v>3.8</x:v>
      </x:c>
      <x:c r="J254" t="n">
        <x:v>4518</x:v>
      </x:c>
    </x:row>
    <x:row r="255" ht="15" hidden="0">
      <x:c r="A255" s="9" t="n">
        <x:v>45985</x:v>
      </x:c>
      <x:c r="B255" s="10" t="s">
        <x:v>72</x:v>
      </x:c>
      <x:c r="C255" s="10" t="s">
        <x:v>90</x:v>
      </x:c>
      <x:c r="D255" s="10" t="s">
        <x:v>77</x:v>
      </x:c>
      <x:c r="E255" s="10" t="s">
        <x:v>78</x:v>
      </x:c>
      <x:c r="F255" s="11" t="n">
        <x:v>3106</x:v>
      </x:c>
      <x:c r="G255" s="11" t="n">
        <x:v>4332</x:v>
      </x:c>
      <x:c r="H255" s="10" t="s">
        <x:v>76</x:v>
      </x:c>
      <x:c r="I255" t="n">
        <x:v>4.5</x:v>
      </x:c>
      <x:c r="J255" t="n">
        <x:v>3967</x:v>
      </x:c>
    </x:row>
    <x:row r="256" ht="15" hidden="0">
      <x:c r="A256" s="9" t="n">
        <x:v>45985</x:v>
      </x:c>
      <x:c r="B256" s="10" t="s">
        <x:v>72</x:v>
      </x:c>
      <x:c r="C256" s="10" t="s">
        <x:v>90</x:v>
      </x:c>
      <x:c r="D256" s="10" t="s">
        <x:v>80</x:v>
      </x:c>
      <x:c r="E256" s="10" t="s">
        <x:v>82</x:v>
      </x:c>
      <x:c r="F256" s="11" t="n">
        <x:v>3360</x:v>
      </x:c>
      <x:c r="G256" s="11" t="n">
        <x:v>4348</x:v>
      </x:c>
      <x:c r="H256" s="10" t="s">
        <x:v>83</x:v>
      </x:c>
      <x:c r="I256" t="n">
        <x:v>4.7</x:v>
      </x:c>
      <x:c r="J256" t="n">
        <x:v>3347</x:v>
      </x:c>
    </x:row>
    <x:row r="257" ht="15" hidden="0">
      <x:c r="A257" s="9" t="n">
        <x:v>45985</x:v>
      </x:c>
      <x:c r="B257" s="10" t="s">
        <x:v>72</x:v>
      </x:c>
      <x:c r="C257" s="10" t="s">
        <x:v>90</x:v>
      </x:c>
      <x:c r="D257" s="10" t="s">
        <x:v>81</x:v>
      </x:c>
      <x:c r="E257" s="10" t="s">
        <x:v>82</x:v>
      </x:c>
      <x:c r="F257" s="11" t="n">
        <x:v>3069</x:v>
      </x:c>
      <x:c r="G257" s="11" t="n">
        <x:v>3515</x:v>
      </x:c>
      <x:c r="H257" s="10" t="s">
        <x:v>79</x:v>
      </x:c>
      <x:c r="I257" t="n">
        <x:v>3.7</x:v>
      </x:c>
      <x:c r="J257" t="n">
        <x:v>1764</x:v>
      </x:c>
    </x:row>
    <x:row r="258" ht="15" hidden="0">
      <x:c r="A258" s="9" t="n">
        <x:v>45950</x:v>
      </x:c>
      <x:c r="B258" s="10" t="s">
        <x:v>92</x:v>
      </x:c>
      <x:c r="C258" s="10" t="s">
        <x:v>94</x:v>
      </x:c>
      <x:c r="D258" s="10" t="s">
        <x:v>74</x:v>
      </x:c>
      <x:c r="E258" s="10" t="s">
        <x:v>75</x:v>
      </x:c>
      <x:c r="F258" s="11" t="n">
        <x:v>1707</x:v>
      </x:c>
      <x:c r="G258" s="11" t="n">
        <x:v>1814</x:v>
      </x:c>
      <x:c r="H258" s="10" t="s">
        <x:v>83</x:v>
      </x:c>
      <x:c r="I258" t="n">
        <x:v>4.1</x:v>
      </x:c>
      <x:c r="J258" t="n">
        <x:v>1115</x:v>
      </x:c>
    </x:row>
    <x:row r="259" ht="15" hidden="0">
      <x:c r="A259" s="9" t="n">
        <x:v>45950</x:v>
      </x:c>
      <x:c r="B259" s="10" t="s">
        <x:v>92</x:v>
      </x:c>
      <x:c r="C259" s="10" t="s">
        <x:v>94</x:v>
      </x:c>
      <x:c r="D259" s="10" t="s">
        <x:v>77</x:v>
      </x:c>
      <x:c r="E259" s="10" t="s">
        <x:v>78</x:v>
      </x:c>
      <x:c r="F259" s="11" t="n">
        <x:v>1697</x:v>
      </x:c>
      <x:c r="G259" s="11" t="n">
        <x:v>2309</x:v>
      </x:c>
      <x:c r="H259" s="10" t="s">
        <x:v>79</x:v>
      </x:c>
      <x:c r="I259" t="n">
        <x:v>3.6</x:v>
      </x:c>
      <x:c r="J259" t="n">
        <x:v>14287</x:v>
      </x:c>
    </x:row>
    <x:row r="260" ht="15" hidden="0">
      <x:c r="A260" s="9" t="n">
        <x:v>45950</x:v>
      </x:c>
      <x:c r="B260" s="10" t="s">
        <x:v>92</x:v>
      </x:c>
      <x:c r="C260" s="10" t="s">
        <x:v>94</x:v>
      </x:c>
      <x:c r="D260" s="10" t="s">
        <x:v>80</x:v>
      </x:c>
      <x:c r="E260" s="10" t="s">
        <x:v>82</x:v>
      </x:c>
      <x:c r="F260" s="11" t="n">
        <x:v>1925</x:v>
      </x:c>
      <x:c r="G260" s="11" t="n">
        <x:v>2711</x:v>
      </x:c>
      <x:c r="H260" s="10" t="s">
        <x:v>76</x:v>
      </x:c>
      <x:c r="I260" t="n">
        <x:v>3.8</x:v>
      </x:c>
      <x:c r="J260" t="n">
        <x:v>9401</x:v>
      </x:c>
    </x:row>
    <x:row r="261" ht="15" hidden="0">
      <x:c r="A261" s="9" t="n">
        <x:v>45950</x:v>
      </x:c>
      <x:c r="B261" s="10" t="s">
        <x:v>92</x:v>
      </x:c>
      <x:c r="C261" s="10" t="s">
        <x:v>94</x:v>
      </x:c>
      <x:c r="D261" s="10" t="s">
        <x:v>81</x:v>
      </x:c>
      <x:c r="E261" s="10" t="s">
        <x:v>75</x:v>
      </x:c>
      <x:c r="F261" s="11" t="n">
        <x:v>1960</x:v>
      </x:c>
      <x:c r="G261" s="11" t="n">
        <x:v>2291</x:v>
      </x:c>
      <x:c r="H261" s="10" t="s">
        <x:v>79</x:v>
      </x:c>
      <x:c r="I261" t="n">
        <x:v>3.5</x:v>
      </x:c>
      <x:c r="J261" t="n">
        <x:v>16301</x:v>
      </x:c>
    </x:row>
    <x:row r="262" ht="15" hidden="0">
      <x:c r="A262" s="9" t="n">
        <x:v>45985</x:v>
      </x:c>
      <x:c r="B262" s="10" t="s">
        <x:v>97</x:v>
      </x:c>
      <x:c r="C262" s="10" t="s">
        <x:v>98</x:v>
      </x:c>
      <x:c r="D262" s="10" t="s">
        <x:v>74</x:v>
      </x:c>
      <x:c r="E262" s="10" t="s">
        <x:v>75</x:v>
      </x:c>
      <x:c r="F262" s="11" t="n">
        <x:v>1826</x:v>
      </x:c>
      <x:c r="G262" s="11" t="n">
        <x:v>2099</x:v>
      </x:c>
      <x:c r="H262" s="10" t="s">
        <x:v>76</x:v>
      </x:c>
      <x:c r="I262" t="n">
        <x:v>4.3</x:v>
      </x:c>
      <x:c r="J262" t="n">
        <x:v>18677</x:v>
      </x:c>
    </x:row>
    <x:row r="263" ht="15" hidden="0">
      <x:c r="A263" s="9" t="n">
        <x:v>45985</x:v>
      </x:c>
      <x:c r="B263" s="10" t="s">
        <x:v>97</x:v>
      </x:c>
      <x:c r="C263" s="10" t="s">
        <x:v>98</x:v>
      </x:c>
      <x:c r="D263" s="10" t="s">
        <x:v>77</x:v>
      </x:c>
      <x:c r="E263" s="10" t="s">
        <x:v>82</x:v>
      </x:c>
      <x:c r="F263" s="11" t="n">
        <x:v>1839</x:v>
      </x:c>
      <x:c r="G263" s="11" t="n">
        <x:v>2184</x:v>
      </x:c>
      <x:c r="H263" s="10" t="s">
        <x:v>76</x:v>
      </x:c>
      <x:c r="I263" t="n">
        <x:v>3.8</x:v>
      </x:c>
      <x:c r="J263" t="n">
        <x:v>16436</x:v>
      </x:c>
    </x:row>
    <x:row r="264" ht="15" hidden="0">
      <x:c r="A264" s="9" t="n">
        <x:v>45985</x:v>
      </x:c>
      <x:c r="B264" s="10" t="s">
        <x:v>97</x:v>
      </x:c>
      <x:c r="C264" s="10" t="s">
        <x:v>98</x:v>
      </x:c>
      <x:c r="D264" s="10" t="s">
        <x:v>80</x:v>
      </x:c>
      <x:c r="E264" s="10" t="s">
        <x:v>82</x:v>
      </x:c>
      <x:c r="F264" s="11" t="n">
        <x:v>1803</x:v>
      </x:c>
      <x:c r="G264" s="11" t="n">
        <x:v>2269</x:v>
      </x:c>
      <x:c r="H264" s="10" t="s">
        <x:v>83</x:v>
      </x:c>
      <x:c r="I264" t="n">
        <x:v>4.1</x:v>
      </x:c>
      <x:c r="J264" t="n">
        <x:v>12713</x:v>
      </x:c>
    </x:row>
    <x:row r="265" ht="15" hidden="0">
      <x:c r="A265" s="9" t="n">
        <x:v>45985</x:v>
      </x:c>
      <x:c r="B265" s="10" t="s">
        <x:v>97</x:v>
      </x:c>
      <x:c r="C265" s="10" t="s">
        <x:v>98</x:v>
      </x:c>
      <x:c r="D265" s="10" t="s">
        <x:v>81</x:v>
      </x:c>
      <x:c r="E265" s="10" t="s">
        <x:v>75</x:v>
      </x:c>
      <x:c r="F265" s="11" t="n">
        <x:v>1402</x:v>
      </x:c>
      <x:c r="G265" s="11" t="n">
        <x:v>1544</x:v>
      </x:c>
      <x:c r="H265" s="10" t="s">
        <x:v>83</x:v>
      </x:c>
      <x:c r="I265" t="n">
        <x:v>3.4</x:v>
      </x:c>
      <x:c r="J265" t="n">
        <x:v>16500</x:v>
      </x:c>
    </x:row>
    <x:row r="266" ht="15" hidden="0">
      <x:c r="A266" s="9" t="n">
        <x:v>45999</x:v>
      </x:c>
      <x:c r="B266" s="10" t="s">
        <x:v>85</x:v>
      </x:c>
      <x:c r="C266" s="10" t="s">
        <x:v>87</x:v>
      </x:c>
      <x:c r="D266" s="10" t="s">
        <x:v>74</x:v>
      </x:c>
      <x:c r="E266" s="10" t="s">
        <x:v>75</x:v>
      </x:c>
      <x:c r="F266" s="11" t="n">
        <x:v>198</x:v>
      </x:c>
      <x:c r="G266" s="11" t="n">
        <x:v>239</x:v>
      </x:c>
      <x:c r="H266" s="10" t="s">
        <x:v>83</x:v>
      </x:c>
      <x:c r="I266" t="n">
        <x:v>3.8</x:v>
      </x:c>
      <x:c r="J266" t="n">
        <x:v>7245</x:v>
      </x:c>
    </x:row>
    <x:row r="267" ht="15" hidden="0">
      <x:c r="A267" s="9" t="n">
        <x:v>45999</x:v>
      </x:c>
      <x:c r="B267" s="10" t="s">
        <x:v>85</x:v>
      </x:c>
      <x:c r="C267" s="10" t="s">
        <x:v>87</x:v>
      </x:c>
      <x:c r="D267" s="10" t="s">
        <x:v>77</x:v>
      </x:c>
      <x:c r="E267" s="10" t="s">
        <x:v>75</x:v>
      </x:c>
      <x:c r="F267" s="11" t="n">
        <x:v>197</x:v>
      </x:c>
      <x:c r="G267" s="11" t="n">
        <x:v>252</x:v>
      </x:c>
      <x:c r="H267" s="10" t="s">
        <x:v>83</x:v>
      </x:c>
      <x:c r="I267" t="n">
        <x:v>3.8</x:v>
      </x:c>
      <x:c r="J267" t="n">
        <x:v>8862</x:v>
      </x:c>
    </x:row>
    <x:row r="268" ht="15" hidden="0">
      <x:c r="A268" s="9" t="n">
        <x:v>45999</x:v>
      </x:c>
      <x:c r="B268" s="10" t="s">
        <x:v>85</x:v>
      </x:c>
      <x:c r="C268" s="10" t="s">
        <x:v>87</x:v>
      </x:c>
      <x:c r="D268" s="10" t="s">
        <x:v>80</x:v>
      </x:c>
      <x:c r="E268" s="10" t="s">
        <x:v>75</x:v>
      </x:c>
      <x:c r="F268" s="11" t="n">
        <x:v>252</x:v>
      </x:c>
      <x:c r="G268" s="11" t="n">
        <x:v>370</x:v>
      </x:c>
      <x:c r="H268" s="10" t="s">
        <x:v>79</x:v>
      </x:c>
      <x:c r="I268" t="n">
        <x:v>4</x:v>
      </x:c>
      <x:c r="J268" t="n">
        <x:v>14516</x:v>
      </x:c>
    </x:row>
    <x:row r="269" ht="15" hidden="0">
      <x:c r="A269" s="9" t="n">
        <x:v>45999</x:v>
      </x:c>
      <x:c r="B269" s="10" t="s">
        <x:v>85</x:v>
      </x:c>
      <x:c r="C269" s="10" t="s">
        <x:v>87</x:v>
      </x:c>
      <x:c r="D269" s="10" t="s">
        <x:v>81</x:v>
      </x:c>
      <x:c r="E269" s="10" t="s">
        <x:v>75</x:v>
      </x:c>
      <x:c r="F269" s="11" t="n">
        <x:v>196</x:v>
      </x:c>
      <x:c r="G269" s="11" t="n">
        <x:v>277</x:v>
      </x:c>
      <x:c r="H269" s="10" t="s">
        <x:v>83</x:v>
      </x:c>
      <x:c r="I269" t="n">
        <x:v>4.4</x:v>
      </x:c>
      <x:c r="J269" t="n">
        <x:v>13274</x:v>
      </x:c>
    </x:row>
    <x:row r="270" ht="15" hidden="0">
      <x:c r="A270" s="9" t="n">
        <x:v>46020</x:v>
      </x:c>
      <x:c r="B270" s="10" t="s">
        <x:v>85</x:v>
      </x:c>
      <x:c r="C270" s="10" t="s">
        <x:v>106</x:v>
      </x:c>
      <x:c r="D270" s="10" t="s">
        <x:v>74</x:v>
      </x:c>
      <x:c r="E270" s="10" t="s">
        <x:v>78</x:v>
      </x:c>
      <x:c r="F270" s="11" t="n">
        <x:v>107</x:v>
      </x:c>
      <x:c r="G270" s="11" t="n">
        <x:v>127</x:v>
      </x:c>
      <x:c r="H270" s="10" t="s">
        <x:v>83</x:v>
      </x:c>
      <x:c r="I270" t="n">
        <x:v>4.3</x:v>
      </x:c>
      <x:c r="J270" t="n">
        <x:v>1513</x:v>
      </x:c>
    </x:row>
    <x:row r="271" ht="15" hidden="0">
      <x:c r="A271" s="9" t="n">
        <x:v>46020</x:v>
      </x:c>
      <x:c r="B271" s="10" t="s">
        <x:v>85</x:v>
      </x:c>
      <x:c r="C271" s="10" t="s">
        <x:v>106</x:v>
      </x:c>
      <x:c r="D271" s="10" t="s">
        <x:v>77</x:v>
      </x:c>
      <x:c r="E271" s="10" t="s">
        <x:v>82</x:v>
      </x:c>
      <x:c r="F271" s="11" t="n">
        <x:v>121</x:v>
      </x:c>
      <x:c r="G271" s="11" t="n">
        <x:v>161</x:v>
      </x:c>
      <x:c r="H271" s="10" t="s">
        <x:v>83</x:v>
      </x:c>
      <x:c r="I271" t="n">
        <x:v>4.7</x:v>
      </x:c>
      <x:c r="J271" t="n">
        <x:v>6192</x:v>
      </x:c>
    </x:row>
    <x:row r="272" ht="15" hidden="0">
      <x:c r="A272" s="9" t="n">
        <x:v>46020</x:v>
      </x:c>
      <x:c r="B272" s="10" t="s">
        <x:v>85</x:v>
      </x:c>
      <x:c r="C272" s="10" t="s">
        <x:v>106</x:v>
      </x:c>
      <x:c r="D272" s="10" t="s">
        <x:v>80</x:v>
      </x:c>
      <x:c r="E272" s="10" t="s">
        <x:v>82</x:v>
      </x:c>
      <x:c r="F272" s="11" t="n">
        <x:v>128</x:v>
      </x:c>
      <x:c r="G272" s="11" t="n">
        <x:v>146</x:v>
      </x:c>
      <x:c r="H272" s="10" t="s">
        <x:v>76</x:v>
      </x:c>
      <x:c r="I272" t="n">
        <x:v>4.3</x:v>
      </x:c>
      <x:c r="J272" t="n">
        <x:v>5159</x:v>
      </x:c>
    </x:row>
    <x:row r="273" ht="15" hidden="0">
      <x:c r="A273" s="9" t="n">
        <x:v>46020</x:v>
      </x:c>
      <x:c r="B273" s="10" t="s">
        <x:v>85</x:v>
      </x:c>
      <x:c r="C273" s="10" t="s">
        <x:v>106</x:v>
      </x:c>
      <x:c r="D273" s="10" t="s">
        <x:v>81</x:v>
      </x:c>
      <x:c r="E273" s="10" t="s">
        <x:v>75</x:v>
      </x:c>
      <x:c r="F273" s="11" t="n">
        <x:v>103</x:v>
      </x:c>
      <x:c r="G273" s="11" t="n">
        <x:v>148</x:v>
      </x:c>
      <x:c r="H273" s="10" t="s">
        <x:v>76</x:v>
      </x:c>
      <x:c r="I273" t="n">
        <x:v>4.1</x:v>
      </x:c>
      <x:c r="J273" t="n">
        <x:v>17357</x:v>
      </x:c>
    </x:row>
    <x:row r="274" ht="15" hidden="0">
      <x:c r="A274" s="9" t="n">
        <x:v>46055</x:v>
      </x:c>
      <x:c r="B274" s="10" t="s">
        <x:v>72</x:v>
      </x:c>
      <x:c r="C274" s="10" t="s">
        <x:v>84</x:v>
      </x:c>
      <x:c r="D274" s="10" t="s">
        <x:v>74</x:v>
      </x:c>
      <x:c r="E274" s="10" t="s">
        <x:v>78</x:v>
      </x:c>
      <x:c r="F274" s="11" t="n">
        <x:v>819</x:v>
      </x:c>
      <x:c r="G274" s="11" t="n">
        <x:v>1205</x:v>
      </x:c>
      <x:c r="H274" s="10" t="s">
        <x:v>79</x:v>
      </x:c>
      <x:c r="I274" t="n">
        <x:v>4</x:v>
      </x:c>
      <x:c r="J274" t="n">
        <x:v>14334</x:v>
      </x:c>
    </x:row>
    <x:row r="275" ht="15" hidden="0">
      <x:c r="A275" s="9" t="n">
        <x:v>46055</x:v>
      </x:c>
      <x:c r="B275" s="10" t="s">
        <x:v>72</x:v>
      </x:c>
      <x:c r="C275" s="10" t="s">
        <x:v>84</x:v>
      </x:c>
      <x:c r="D275" s="10" t="s">
        <x:v>77</x:v>
      </x:c>
      <x:c r="E275" s="10" t="s">
        <x:v>82</x:v>
      </x:c>
      <x:c r="F275" s="11" t="n">
        <x:v>757</x:v>
      </x:c>
      <x:c r="G275" s="11" t="n">
        <x:v>1090</x:v>
      </x:c>
      <x:c r="H275" s="10" t="s">
        <x:v>76</x:v>
      </x:c>
      <x:c r="I275" t="n">
        <x:v>3.9</x:v>
      </x:c>
      <x:c r="J275" t="n">
        <x:v>7371</x:v>
      </x:c>
    </x:row>
    <x:row r="276" ht="15" hidden="0">
      <x:c r="A276" s="9" t="n">
        <x:v>46055</x:v>
      </x:c>
      <x:c r="B276" s="10" t="s">
        <x:v>72</x:v>
      </x:c>
      <x:c r="C276" s="10" t="s">
        <x:v>84</x:v>
      </x:c>
      <x:c r="D276" s="10" t="s">
        <x:v>80</x:v>
      </x:c>
      <x:c r="E276" s="10" t="s">
        <x:v>78</x:v>
      </x:c>
      <x:c r="F276" s="11" t="n">
        <x:v>770</x:v>
      </x:c>
      <x:c r="G276" s="11" t="n">
        <x:v>1069</x:v>
      </x:c>
      <x:c r="H276" s="10" t="s">
        <x:v>76</x:v>
      </x:c>
      <x:c r="I276" t="n">
        <x:v>3.7</x:v>
      </x:c>
      <x:c r="J276" t="n">
        <x:v>15704</x:v>
      </x:c>
    </x:row>
    <x:row r="277" ht="15" hidden="0">
      <x:c r="A277" s="9" t="n">
        <x:v>46055</x:v>
      </x:c>
      <x:c r="B277" s="10" t="s">
        <x:v>72</x:v>
      </x:c>
      <x:c r="C277" s="10" t="s">
        <x:v>84</x:v>
      </x:c>
      <x:c r="D277" s="10" t="s">
        <x:v>81</x:v>
      </x:c>
      <x:c r="E277" s="10" t="s">
        <x:v>75</x:v>
      </x:c>
      <x:c r="F277" s="11" t="n">
        <x:v>721</x:v>
      </x:c>
      <x:c r="G277" s="11" t="n">
        <x:v>844</x:v>
      </x:c>
      <x:c r="H277" s="10" t="s">
        <x:v>79</x:v>
      </x:c>
      <x:c r="I277" t="n">
        <x:v>4.4</x:v>
      </x:c>
      <x:c r="J277" t="n">
        <x:v>6292</x:v>
      </x:c>
    </x:row>
    <x:row r="278" ht="15" hidden="0">
      <x:c r="A278" s="9" t="n">
        <x:v>45936</x:v>
      </x:c>
      <x:c r="B278" s="10" t="s">
        <x:v>97</x:v>
      </x:c>
      <x:c r="C278" s="10" t="s">
        <x:v>111</x:v>
      </x:c>
      <x:c r="D278" s="10" t="s">
        <x:v>74</x:v>
      </x:c>
      <x:c r="E278" s="10" t="s">
        <x:v>75</x:v>
      </x:c>
      <x:c r="F278" s="11" t="n">
        <x:v>1715</x:v>
      </x:c>
      <x:c r="G278" s="11" t="n">
        <x:v>1901</x:v>
      </x:c>
      <x:c r="H278" s="10" t="s">
        <x:v>79</x:v>
      </x:c>
      <x:c r="I278" t="n">
        <x:v>4.4</x:v>
      </x:c>
      <x:c r="J278" t="n">
        <x:v>14938</x:v>
      </x:c>
    </x:row>
    <x:row r="279" ht="15" hidden="0">
      <x:c r="A279" s="9" t="n">
        <x:v>45936</x:v>
      </x:c>
      <x:c r="B279" s="10" t="s">
        <x:v>97</x:v>
      </x:c>
      <x:c r="C279" s="10" t="s">
        <x:v>111</x:v>
      </x:c>
      <x:c r="D279" s="10" t="s">
        <x:v>77</x:v>
      </x:c>
      <x:c r="E279" s="10" t="s">
        <x:v>82</x:v>
      </x:c>
      <x:c r="F279" s="11" t="n">
        <x:v>1871</x:v>
      </x:c>
      <x:c r="G279" s="11" t="n">
        <x:v>2079</x:v>
      </x:c>
      <x:c r="H279" s="10" t="s">
        <x:v>83</x:v>
      </x:c>
      <x:c r="I279" t="n">
        <x:v>4.3</x:v>
      </x:c>
      <x:c r="J279" t="n">
        <x:v>17480</x:v>
      </x:c>
    </x:row>
    <x:row r="280" ht="15" hidden="0">
      <x:c r="A280" s="9" t="n">
        <x:v>45936</x:v>
      </x:c>
      <x:c r="B280" s="10" t="s">
        <x:v>97</x:v>
      </x:c>
      <x:c r="C280" s="10" t="s">
        <x:v>111</x:v>
      </x:c>
      <x:c r="D280" s="10" t="s">
        <x:v>80</x:v>
      </x:c>
      <x:c r="E280" s="10" t="s">
        <x:v>82</x:v>
      </x:c>
      <x:c r="F280" s="11" t="n">
        <x:v>1707</x:v>
      </x:c>
      <x:c r="G280" s="11" t="n">
        <x:v>2177</x:v>
      </x:c>
      <x:c r="H280" s="10" t="s">
        <x:v>79</x:v>
      </x:c>
      <x:c r="I280" t="n">
        <x:v>3.4</x:v>
      </x:c>
      <x:c r="J280" t="n">
        <x:v>19440</x:v>
      </x:c>
    </x:row>
    <x:row r="281" ht="15" hidden="0">
      <x:c r="A281" s="9" t="n">
        <x:v>45936</x:v>
      </x:c>
      <x:c r="B281" s="10" t="s">
        <x:v>97</x:v>
      </x:c>
      <x:c r="C281" s="10" t="s">
        <x:v>111</x:v>
      </x:c>
      <x:c r="D281" s="10" t="s">
        <x:v>81</x:v>
      </x:c>
      <x:c r="E281" s="10" t="s">
        <x:v>82</x:v>
      </x:c>
      <x:c r="F281" s="11" t="n">
        <x:v>1706</x:v>
      </x:c>
      <x:c r="G281" s="11" t="n">
        <x:v>1835</x:v>
      </x:c>
      <x:c r="H281" s="10" t="s">
        <x:v>79</x:v>
      </x:c>
      <x:c r="I281" t="n">
        <x:v>4.2</x:v>
      </x:c>
      <x:c r="J281" t="n">
        <x:v>11989</x:v>
      </x:c>
    </x:row>
    <x:row r="282" ht="15" hidden="0">
      <x:c r="A282" s="9" t="n">
        <x:v>46034</x:v>
      </x:c>
      <x:c r="B282" s="10" t="s">
        <x:v>85</x:v>
      </x:c>
      <x:c r="C282" s="10" t="s">
        <x:v>87</x:v>
      </x:c>
      <x:c r="D282" s="10" t="s">
        <x:v>74</x:v>
      </x:c>
      <x:c r="E282" s="10" t="s">
        <x:v>75</x:v>
      </x:c>
      <x:c r="F282" s="11" t="n">
        <x:v>311</x:v>
      </x:c>
      <x:c r="G282" s="11" t="n">
        <x:v>443</x:v>
      </x:c>
      <x:c r="H282" s="10" t="s">
        <x:v>76</x:v>
      </x:c>
      <x:c r="I282" t="n">
        <x:v>4.5</x:v>
      </x:c>
      <x:c r="J282" t="n">
        <x:v>3359</x:v>
      </x:c>
    </x:row>
    <x:row r="283" ht="15" hidden="0">
      <x:c r="A283" s="9" t="n">
        <x:v>46034</x:v>
      </x:c>
      <x:c r="B283" s="10" t="s">
        <x:v>85</x:v>
      </x:c>
      <x:c r="C283" s="10" t="s">
        <x:v>87</x:v>
      </x:c>
      <x:c r="D283" s="10" t="s">
        <x:v>77</x:v>
      </x:c>
      <x:c r="E283" s="10" t="s">
        <x:v>75</x:v>
      </x:c>
      <x:c r="F283" s="11" t="n">
        <x:v>295</x:v>
      </x:c>
      <x:c r="G283" s="11" t="n">
        <x:v>316</x:v>
      </x:c>
      <x:c r="H283" s="10" t="s">
        <x:v>83</x:v>
      </x:c>
      <x:c r="I283" t="n">
        <x:v>4.4</x:v>
      </x:c>
      <x:c r="J283" t="n">
        <x:v>485</x:v>
      </x:c>
    </x:row>
    <x:row r="284" ht="15" hidden="0">
      <x:c r="A284" s="9" t="n">
        <x:v>46034</x:v>
      </x:c>
      <x:c r="B284" s="10" t="s">
        <x:v>85</x:v>
      </x:c>
      <x:c r="C284" s="10" t="s">
        <x:v>87</x:v>
      </x:c>
      <x:c r="D284" s="10" t="s">
        <x:v>80</x:v>
      </x:c>
      <x:c r="E284" s="10" t="s">
        <x:v>78</x:v>
      </x:c>
      <x:c r="F284" s="11" t="n">
        <x:v>304</x:v>
      </x:c>
      <x:c r="G284" s="11" t="n">
        <x:v>322</x:v>
      </x:c>
      <x:c r="H284" s="10" t="s">
        <x:v>83</x:v>
      </x:c>
      <x:c r="I284" t="n">
        <x:v>3.8</x:v>
      </x:c>
      <x:c r="J284" t="n">
        <x:v>9255</x:v>
      </x:c>
    </x:row>
    <x:row r="285" ht="15" hidden="0">
      <x:c r="A285" s="9" t="n">
        <x:v>46034</x:v>
      </x:c>
      <x:c r="B285" s="10" t="s">
        <x:v>85</x:v>
      </x:c>
      <x:c r="C285" s="10" t="s">
        <x:v>87</x:v>
      </x:c>
      <x:c r="D285" s="10" t="s">
        <x:v>81</x:v>
      </x:c>
      <x:c r="E285" s="10" t="s">
        <x:v>75</x:v>
      </x:c>
      <x:c r="F285" s="11" t="n">
        <x:v>284</x:v>
      </x:c>
      <x:c r="G285" s="11" t="n">
        <x:v>372</x:v>
      </x:c>
      <x:c r="H285" s="10" t="s">
        <x:v>79</x:v>
      </x:c>
      <x:c r="I285" t="n">
        <x:v>4.1</x:v>
      </x:c>
      <x:c r="J285" t="n">
        <x:v>12559</x:v>
      </x:c>
    </x:row>
    <x:row r="286" ht="15" hidden="0">
      <x:c r="A286" s="9" t="n">
        <x:v>45999</x:v>
      </x:c>
      <x:c r="B286" s="10" t="s">
        <x:v>72</x:v>
      </x:c>
      <x:c r="C286" s="10" t="s">
        <x:v>73</x:v>
      </x:c>
      <x:c r="D286" s="10" t="s">
        <x:v>74</x:v>
      </x:c>
      <x:c r="E286" s="10" t="s">
        <x:v>82</x:v>
      </x:c>
      <x:c r="F286" s="11" t="n">
        <x:v>2353</x:v>
      </x:c>
      <x:c r="G286" s="11" t="n">
        <x:v>2947</x:v>
      </x:c>
      <x:c r="H286" s="10" t="s">
        <x:v>83</x:v>
      </x:c>
      <x:c r="I286" t="n">
        <x:v>4.4</x:v>
      </x:c>
      <x:c r="J286" t="n">
        <x:v>6914</x:v>
      </x:c>
    </x:row>
    <x:row r="287" ht="15" hidden="0">
      <x:c r="A287" s="9" t="n">
        <x:v>45999</x:v>
      </x:c>
      <x:c r="B287" s="10" t="s">
        <x:v>72</x:v>
      </x:c>
      <x:c r="C287" s="10" t="s">
        <x:v>73</x:v>
      </x:c>
      <x:c r="D287" s="10" t="s">
        <x:v>77</x:v>
      </x:c>
      <x:c r="E287" s="10" t="s">
        <x:v>78</x:v>
      </x:c>
      <x:c r="F287" s="11" t="n">
        <x:v>2776</x:v>
      </x:c>
      <x:c r="G287" s="11" t="n">
        <x:v>3089</x:v>
      </x:c>
      <x:c r="H287" s="10" t="s">
        <x:v>79</x:v>
      </x:c>
      <x:c r="I287" t="n">
        <x:v>3.8</x:v>
      </x:c>
      <x:c r="J287" t="n">
        <x:v>11405</x:v>
      </x:c>
    </x:row>
    <x:row r="288" ht="15" hidden="0">
      <x:c r="A288" s="9" t="n">
        <x:v>45999</x:v>
      </x:c>
      <x:c r="B288" s="10" t="s">
        <x:v>72</x:v>
      </x:c>
      <x:c r="C288" s="10" t="s">
        <x:v>73</x:v>
      </x:c>
      <x:c r="D288" s="10" t="s">
        <x:v>80</x:v>
      </x:c>
      <x:c r="E288" s="10" t="s">
        <x:v>75</x:v>
      </x:c>
      <x:c r="F288" s="11" t="n">
        <x:v>2403</x:v>
      </x:c>
      <x:c r="G288" s="11" t="n">
        <x:v>2706</x:v>
      </x:c>
      <x:c r="H288" s="10" t="s">
        <x:v>83</x:v>
      </x:c>
      <x:c r="I288" t="n">
        <x:v>4</x:v>
      </x:c>
      <x:c r="J288" t="n">
        <x:v>10911</x:v>
      </x:c>
    </x:row>
    <x:row r="289" ht="15" hidden="0">
      <x:c r="A289" s="9" t="n">
        <x:v>45999</x:v>
      </x:c>
      <x:c r="B289" s="10" t="s">
        <x:v>72</x:v>
      </x:c>
      <x:c r="C289" s="10" t="s">
        <x:v>73</x:v>
      </x:c>
      <x:c r="D289" s="10" t="s">
        <x:v>81</x:v>
      </x:c>
      <x:c r="E289" s="10" t="s">
        <x:v>82</x:v>
      </x:c>
      <x:c r="F289" s="11" t="n">
        <x:v>2580</x:v>
      </x:c>
      <x:c r="G289" s="11" t="n">
        <x:v>2858</x:v>
      </x:c>
      <x:c r="H289" s="10" t="s">
        <x:v>79</x:v>
      </x:c>
      <x:c r="I289" t="n">
        <x:v>4.1</x:v>
      </x:c>
      <x:c r="J289" t="n">
        <x:v>2802</x:v>
      </x:c>
    </x:row>
    <x:row r="290" ht="15" hidden="0">
      <x:c r="A290" s="9" t="n">
        <x:v>46020</x:v>
      </x:c>
      <x:c r="B290" s="10" t="s">
        <x:v>85</x:v>
      </x:c>
      <x:c r="C290" s="10" t="s">
        <x:v>106</x:v>
      </x:c>
      <x:c r="D290" s="10" t="s">
        <x:v>74</x:v>
      </x:c>
      <x:c r="E290" s="10" t="s">
        <x:v>82</x:v>
      </x:c>
      <x:c r="F290" s="11" t="n">
        <x:v>144</x:v>
      </x:c>
      <x:c r="G290" s="11" t="n">
        <x:v>160</x:v>
      </x:c>
      <x:c r="H290" s="10" t="s">
        <x:v>76</x:v>
      </x:c>
      <x:c r="I290" t="n">
        <x:v>4.6</x:v>
      </x:c>
      <x:c r="J290" t="n">
        <x:v>3795</x:v>
      </x:c>
    </x:row>
    <x:row r="291" ht="15" hidden="0">
      <x:c r="A291" s="9" t="n">
        <x:v>46020</x:v>
      </x:c>
      <x:c r="B291" s="10" t="s">
        <x:v>85</x:v>
      </x:c>
      <x:c r="C291" s="10" t="s">
        <x:v>106</x:v>
      </x:c>
      <x:c r="D291" s="10" t="s">
        <x:v>77</x:v>
      </x:c>
      <x:c r="E291" s="10" t="s">
        <x:v>82</x:v>
      </x:c>
      <x:c r="F291" s="11" t="n">
        <x:v>167</x:v>
      </x:c>
      <x:c r="G291" s="11" t="n">
        <x:v>205</x:v>
      </x:c>
      <x:c r="H291" s="10" t="s">
        <x:v>83</x:v>
      </x:c>
      <x:c r="I291" t="n">
        <x:v>3.6</x:v>
      </x:c>
      <x:c r="J291" t="n">
        <x:v>2668</x:v>
      </x:c>
    </x:row>
    <x:row r="292" ht="15" hidden="0">
      <x:c r="A292" s="9" t="n">
        <x:v>46020</x:v>
      </x:c>
      <x:c r="B292" s="10" t="s">
        <x:v>85</x:v>
      </x:c>
      <x:c r="C292" s="10" t="s">
        <x:v>106</x:v>
      </x:c>
      <x:c r="D292" s="10" t="s">
        <x:v>80</x:v>
      </x:c>
      <x:c r="E292" s="10" t="s">
        <x:v>78</x:v>
      </x:c>
      <x:c r="F292" s="11" t="n">
        <x:v>158</x:v>
      </x:c>
      <x:c r="G292" s="11" t="n">
        <x:v>170</x:v>
      </x:c>
      <x:c r="H292" s="10" t="s">
        <x:v>76</x:v>
      </x:c>
      <x:c r="I292" t="n">
        <x:v>3.4</x:v>
      </x:c>
      <x:c r="J292" t="n">
        <x:v>2386</x:v>
      </x:c>
    </x:row>
    <x:row r="293" ht="15" hidden="0">
      <x:c r="A293" s="9" t="n">
        <x:v>46020</x:v>
      </x:c>
      <x:c r="B293" s="10" t="s">
        <x:v>85</x:v>
      </x:c>
      <x:c r="C293" s="10" t="s">
        <x:v>106</x:v>
      </x:c>
      <x:c r="D293" s="10" t="s">
        <x:v>81</x:v>
      </x:c>
      <x:c r="E293" s="10" t="s">
        <x:v>75</x:v>
      </x:c>
      <x:c r="F293" s="11" t="n">
        <x:v>163</x:v>
      </x:c>
      <x:c r="G293" s="11" t="n">
        <x:v>189</x:v>
      </x:c>
      <x:c r="H293" s="10" t="s">
        <x:v>76</x:v>
      </x:c>
      <x:c r="I293" t="n">
        <x:v>4.1</x:v>
      </x:c>
      <x:c r="J293" t="n">
        <x:v>10987</x:v>
      </x:c>
    </x:row>
    <x:row r="294" ht="15" hidden="0">
      <x:c r="A294" s="9" t="n">
        <x:v>45999</x:v>
      </x:c>
      <x:c r="B294" s="10" t="s">
        <x:v>92</x:v>
      </x:c>
      <x:c r="C294" s="10" t="s">
        <x:v>94</x:v>
      </x:c>
      <x:c r="D294" s="10" t="s">
        <x:v>74</x:v>
      </x:c>
      <x:c r="E294" s="10" t="s">
        <x:v>75</x:v>
      </x:c>
      <x:c r="F294" s="11" t="n">
        <x:v>1700</x:v>
      </x:c>
      <x:c r="G294" s="11" t="n">
        <x:v>2302</x:v>
      </x:c>
      <x:c r="H294" s="10" t="s">
        <x:v>76</x:v>
      </x:c>
      <x:c r="I294" t="n">
        <x:v>4.3</x:v>
      </x:c>
      <x:c r="J294" t="n">
        <x:v>5959</x:v>
      </x:c>
    </x:row>
    <x:row r="295" ht="15" hidden="0">
      <x:c r="A295" s="9" t="n">
        <x:v>45999</x:v>
      </x:c>
      <x:c r="B295" s="10" t="s">
        <x:v>92</x:v>
      </x:c>
      <x:c r="C295" s="10" t="s">
        <x:v>94</x:v>
      </x:c>
      <x:c r="D295" s="10" t="s">
        <x:v>77</x:v>
      </x:c>
      <x:c r="E295" s="10" t="s">
        <x:v>78</x:v>
      </x:c>
      <x:c r="F295" s="11" t="n">
        <x:v>1846</x:v>
      </x:c>
      <x:c r="G295" s="11" t="n">
        <x:v>2684</x:v>
      </x:c>
      <x:c r="H295" s="10" t="s">
        <x:v>79</x:v>
      </x:c>
      <x:c r="I295" t="n">
        <x:v>4.2</x:v>
      </x:c>
      <x:c r="J295" t="n">
        <x:v>7616</x:v>
      </x:c>
    </x:row>
    <x:row r="296" ht="15" hidden="0">
      <x:c r="A296" s="9" t="n">
        <x:v>45999</x:v>
      </x:c>
      <x:c r="B296" s="10" t="s">
        <x:v>92</x:v>
      </x:c>
      <x:c r="C296" s="10" t="s">
        <x:v>94</x:v>
      </x:c>
      <x:c r="D296" s="10" t="s">
        <x:v>80</x:v>
      </x:c>
      <x:c r="E296" s="10" t="s">
        <x:v>82</x:v>
      </x:c>
      <x:c r="F296" s="11" t="n">
        <x:v>1495</x:v>
      </x:c>
      <x:c r="G296" s="11" t="n">
        <x:v>1971</x:v>
      </x:c>
      <x:c r="H296" s="10" t="s">
        <x:v>79</x:v>
      </x:c>
      <x:c r="I296" t="n">
        <x:v>4.2</x:v>
      </x:c>
      <x:c r="J296" t="n">
        <x:v>5697</x:v>
      </x:c>
    </x:row>
    <x:row r="297" ht="15" hidden="0">
      <x:c r="A297" s="9" t="n">
        <x:v>45999</x:v>
      </x:c>
      <x:c r="B297" s="10" t="s">
        <x:v>92</x:v>
      </x:c>
      <x:c r="C297" s="10" t="s">
        <x:v>94</x:v>
      </x:c>
      <x:c r="D297" s="10" t="s">
        <x:v>81</x:v>
      </x:c>
      <x:c r="E297" s="10" t="s">
        <x:v>78</x:v>
      </x:c>
      <x:c r="F297" s="11" t="n">
        <x:v>1586</x:v>
      </x:c>
      <x:c r="G297" s="11" t="n">
        <x:v>1671</x:v>
      </x:c>
      <x:c r="H297" s="10" t="s">
        <x:v>83</x:v>
      </x:c>
      <x:c r="I297" t="n">
        <x:v>4</x:v>
      </x:c>
      <x:c r="J297" t="n">
        <x:v>12931</x:v>
      </x:c>
    </x:row>
    <x:row r="298" ht="15" hidden="0">
      <x:c r="A298" s="9" t="n">
        <x:v>46055</x:v>
      </x:c>
      <x:c r="B298" s="10" t="s">
        <x:v>88</x:v>
      </x:c>
      <x:c r="C298" s="10" t="s">
        <x:v>89</x:v>
      </x:c>
      <x:c r="D298" s="10" t="s">
        <x:v>74</x:v>
      </x:c>
      <x:c r="E298" s="10" t="s">
        <x:v>75</x:v>
      </x:c>
      <x:c r="F298" s="11" t="n">
        <x:v>1765</x:v>
      </x:c>
      <x:c r="G298" s="11" t="n">
        <x:v>2072</x:v>
      </x:c>
      <x:c r="H298" s="10" t="s">
        <x:v>83</x:v>
      </x:c>
      <x:c r="I298" t="n">
        <x:v>3.6</x:v>
      </x:c>
      <x:c r="J298" t="n">
        <x:v>2959</x:v>
      </x:c>
    </x:row>
    <x:row r="299" ht="15" hidden="0">
      <x:c r="A299" s="9" t="n">
        <x:v>46055</x:v>
      </x:c>
      <x:c r="B299" s="10" t="s">
        <x:v>88</x:v>
      </x:c>
      <x:c r="C299" s="10" t="s">
        <x:v>89</x:v>
      </x:c>
      <x:c r="D299" s="10" t="s">
        <x:v>77</x:v>
      </x:c>
      <x:c r="E299" s="10" t="s">
        <x:v>78</x:v>
      </x:c>
      <x:c r="F299" s="11" t="n">
        <x:v>1463</x:v>
      </x:c>
      <x:c r="G299" s="11" t="n">
        <x:v>1770</x:v>
      </x:c>
      <x:c r="H299" s="10" t="s">
        <x:v>76</x:v>
      </x:c>
      <x:c r="I299" t="n">
        <x:v>3.5</x:v>
      </x:c>
      <x:c r="J299" t="n">
        <x:v>1829</x:v>
      </x:c>
    </x:row>
    <x:row r="300" ht="15" hidden="0">
      <x:c r="A300" s="9" t="n">
        <x:v>46055</x:v>
      </x:c>
      <x:c r="B300" s="10" t="s">
        <x:v>88</x:v>
      </x:c>
      <x:c r="C300" s="10" t="s">
        <x:v>89</x:v>
      </x:c>
      <x:c r="D300" s="10" t="s">
        <x:v>80</x:v>
      </x:c>
      <x:c r="E300" s="10" t="s">
        <x:v>75</x:v>
      </x:c>
      <x:c r="F300" s="11" t="n">
        <x:v>1491</x:v>
      </x:c>
      <x:c r="G300" s="11" t="n">
        <x:v>1620</x:v>
      </x:c>
      <x:c r="H300" s="10" t="s">
        <x:v>83</x:v>
      </x:c>
      <x:c r="I300" t="n">
        <x:v>4.1</x:v>
      </x:c>
      <x:c r="J300" t="n">
        <x:v>11008</x:v>
      </x:c>
    </x:row>
    <x:row r="301" ht="15" hidden="0">
      <x:c r="A301" s="9" t="n">
        <x:v>46055</x:v>
      </x:c>
      <x:c r="B301" s="10" t="s">
        <x:v>88</x:v>
      </x:c>
      <x:c r="C301" s="10" t="s">
        <x:v>89</x:v>
      </x:c>
      <x:c r="D301" s="10" t="s">
        <x:v>81</x:v>
      </x:c>
      <x:c r="E301" s="10" t="s">
        <x:v>78</x:v>
      </x:c>
      <x:c r="F301" s="11" t="n">
        <x:v>1632</x:v>
      </x:c>
      <x:c r="G301" s="11" t="n">
        <x:v>2102</x:v>
      </x:c>
      <x:c r="H301" s="10" t="s">
        <x:v>83</x:v>
      </x:c>
      <x:c r="I301" t="n">
        <x:v>3.9</x:v>
      </x:c>
      <x:c r="J301" t="n">
        <x:v>11794</x:v>
      </x:c>
    </x:row>
    <x:row r="302" ht="15" hidden="0">
      <x:c r="A302" s="9" t="n">
        <x:v>46069</x:v>
      </x:c>
      <x:c r="B302" s="10" t="s">
        <x:v>72</x:v>
      </x:c>
      <x:c r="C302" s="10" t="s">
        <x:v>100</x:v>
      </x:c>
      <x:c r="D302" s="10" t="s">
        <x:v>74</x:v>
      </x:c>
      <x:c r="E302" s="10" t="s">
        <x:v>75</x:v>
      </x:c>
      <x:c r="F302" s="11" t="n">
        <x:v>1315</x:v>
      </x:c>
      <x:c r="G302" s="11" t="n">
        <x:v>1653</x:v>
      </x:c>
      <x:c r="H302" s="10" t="s">
        <x:v>83</x:v>
      </x:c>
      <x:c r="I302" t="n">
        <x:v>4.1</x:v>
      </x:c>
      <x:c r="J302" t="n">
        <x:v>9460</x:v>
      </x:c>
    </x:row>
    <x:row r="303" ht="15" hidden="0">
      <x:c r="A303" s="9" t="n">
        <x:v>46069</x:v>
      </x:c>
      <x:c r="B303" s="10" t="s">
        <x:v>72</x:v>
      </x:c>
      <x:c r="C303" s="10" t="s">
        <x:v>100</x:v>
      </x:c>
      <x:c r="D303" s="10" t="s">
        <x:v>77</x:v>
      </x:c>
      <x:c r="E303" s="10" t="s">
        <x:v>82</x:v>
      </x:c>
      <x:c r="F303" s="11" t="n">
        <x:v>1371</x:v>
      </x:c>
      <x:c r="G303" s="11" t="n">
        <x:v>1590</x:v>
      </x:c>
      <x:c r="H303" s="10" t="s">
        <x:v>76</x:v>
      </x:c>
      <x:c r="I303" t="n">
        <x:v>4.3</x:v>
      </x:c>
      <x:c r="J303" t="n">
        <x:v>296</x:v>
      </x:c>
    </x:row>
    <x:row r="304" ht="15" hidden="0">
      <x:c r="A304" s="9" t="n">
        <x:v>46069</x:v>
      </x:c>
      <x:c r="B304" s="10" t="s">
        <x:v>72</x:v>
      </x:c>
      <x:c r="C304" s="10" t="s">
        <x:v>100</x:v>
      </x:c>
      <x:c r="D304" s="10" t="s">
        <x:v>80</x:v>
      </x:c>
      <x:c r="E304" s="10" t="s">
        <x:v>78</x:v>
      </x:c>
      <x:c r="F304" s="11" t="n">
        <x:v>1750</x:v>
      </x:c>
      <x:c r="G304" s="11" t="n">
        <x:v>2227</x:v>
      </x:c>
      <x:c r="H304" s="10" t="s">
        <x:v>83</x:v>
      </x:c>
      <x:c r="I304" t="n">
        <x:v>4.5</x:v>
      </x:c>
      <x:c r="J304" t="n">
        <x:v>14896</x:v>
      </x:c>
    </x:row>
    <x:row r="305" ht="15" hidden="0">
      <x:c r="A305" s="9" t="n">
        <x:v>46069</x:v>
      </x:c>
      <x:c r="B305" s="10" t="s">
        <x:v>72</x:v>
      </x:c>
      <x:c r="C305" s="10" t="s">
        <x:v>100</x:v>
      </x:c>
      <x:c r="D305" s="10" t="s">
        <x:v>81</x:v>
      </x:c>
      <x:c r="E305" s="10" t="s">
        <x:v>75</x:v>
      </x:c>
      <x:c r="F305" s="11" t="n">
        <x:v>1580</x:v>
      </x:c>
      <x:c r="G305" s="11" t="n">
        <x:v>2295</x:v>
      </x:c>
      <x:c r="H305" s="10" t="s">
        <x:v>83</x:v>
      </x:c>
      <x:c r="I305" t="n">
        <x:v>4</x:v>
      </x:c>
      <x:c r="J305" t="n">
        <x:v>2262</x:v>
      </x:c>
    </x:row>
    <x:row r="306" ht="15" hidden="0">
      <x:c r="A306" s="9" t="n">
        <x:v>45950</x:v>
      </x:c>
      <x:c r="B306" s="10" t="s">
        <x:v>72</x:v>
      </x:c>
      <x:c r="C306" s="10" t="s">
        <x:v>84</x:v>
      </x:c>
      <x:c r="D306" s="10" t="s">
        <x:v>74</x:v>
      </x:c>
      <x:c r="E306" s="10" t="s">
        <x:v>82</x:v>
      </x:c>
      <x:c r="F306" s="11" t="n">
        <x:v>779</x:v>
      </x:c>
      <x:c r="G306" s="11" t="n">
        <x:v>1033</x:v>
      </x:c>
      <x:c r="H306" s="10" t="s">
        <x:v>79</x:v>
      </x:c>
      <x:c r="I306" t="n">
        <x:v>4.5</x:v>
      </x:c>
      <x:c r="J306" t="n">
        <x:v>6694</x:v>
      </x:c>
    </x:row>
    <x:row r="307" ht="15" hidden="0">
      <x:c r="A307" s="9" t="n">
        <x:v>45950</x:v>
      </x:c>
      <x:c r="B307" s="10" t="s">
        <x:v>72</x:v>
      </x:c>
      <x:c r="C307" s="10" t="s">
        <x:v>84</x:v>
      </x:c>
      <x:c r="D307" s="10" t="s">
        <x:v>77</x:v>
      </x:c>
      <x:c r="E307" s="10" t="s">
        <x:v>82</x:v>
      </x:c>
      <x:c r="F307" s="11" t="n">
        <x:v>900</x:v>
      </x:c>
      <x:c r="G307" s="11" t="n">
        <x:v>1301</x:v>
      </x:c>
      <x:c r="H307" s="10" t="s">
        <x:v>83</x:v>
      </x:c>
      <x:c r="I307" t="n">
        <x:v>4</x:v>
      </x:c>
      <x:c r="J307" t="n">
        <x:v>17599</x:v>
      </x:c>
    </x:row>
    <x:row r="308" ht="15" hidden="0">
      <x:c r="A308" s="9" t="n">
        <x:v>45950</x:v>
      </x:c>
      <x:c r="B308" s="10" t="s">
        <x:v>72</x:v>
      </x:c>
      <x:c r="C308" s="10" t="s">
        <x:v>84</x:v>
      </x:c>
      <x:c r="D308" s="10" t="s">
        <x:v>80</x:v>
      </x:c>
      <x:c r="E308" s="10" t="s">
        <x:v>78</x:v>
      </x:c>
      <x:c r="F308" s="11" t="n">
        <x:v>862</x:v>
      </x:c>
      <x:c r="G308" s="11" t="n">
        <x:v>1221</x:v>
      </x:c>
      <x:c r="H308" s="10" t="s">
        <x:v>79</x:v>
      </x:c>
      <x:c r="I308" t="n">
        <x:v>4.6</x:v>
      </x:c>
      <x:c r="J308" t="n">
        <x:v>16786</x:v>
      </x:c>
    </x:row>
    <x:row r="309" ht="15" hidden="0">
      <x:c r="A309" s="9" t="n">
        <x:v>45950</x:v>
      </x:c>
      <x:c r="B309" s="10" t="s">
        <x:v>72</x:v>
      </x:c>
      <x:c r="C309" s="10" t="s">
        <x:v>84</x:v>
      </x:c>
      <x:c r="D309" s="10" t="s">
        <x:v>81</x:v>
      </x:c>
      <x:c r="E309" s="10" t="s">
        <x:v>75</x:v>
      </x:c>
      <x:c r="F309" s="11" t="n">
        <x:v>743</x:v>
      </x:c>
      <x:c r="G309" s="11" t="n">
        <x:v>855</x:v>
      </x:c>
      <x:c r="H309" s="10" t="s">
        <x:v>83</x:v>
      </x:c>
      <x:c r="I309" t="n">
        <x:v>3.8</x:v>
      </x:c>
      <x:c r="J309" t="n">
        <x:v>1567</x:v>
      </x:c>
    </x:row>
    <x:row r="310" ht="15" hidden="0">
      <x:c r="A310" s="9" t="n">
        <x:v>45978</x:v>
      </x:c>
      <x:c r="B310" s="10" t="s">
        <x:v>92</x:v>
      </x:c>
      <x:c r="C310" s="10" t="s">
        <x:v>96</x:v>
      </x:c>
      <x:c r="D310" s="10" t="s">
        <x:v>74</x:v>
      </x:c>
      <x:c r="E310" s="10" t="s">
        <x:v>78</x:v>
      </x:c>
      <x:c r="F310" s="11" t="n">
        <x:v>1892</x:v>
      </x:c>
      <x:c r="G310" s="11" t="n">
        <x:v>2613</x:v>
      </x:c>
      <x:c r="H310" s="10" t="s">
        <x:v>83</x:v>
      </x:c>
      <x:c r="I310" t="n">
        <x:v>4.6</x:v>
      </x:c>
      <x:c r="J310" t="n">
        <x:v>10093</x:v>
      </x:c>
    </x:row>
    <x:row r="311" ht="15" hidden="0">
      <x:c r="A311" s="9" t="n">
        <x:v>45978</x:v>
      </x:c>
      <x:c r="B311" s="10" t="s">
        <x:v>92</x:v>
      </x:c>
      <x:c r="C311" s="10" t="s">
        <x:v>96</x:v>
      </x:c>
      <x:c r="D311" s="10" t="s">
        <x:v>77</x:v>
      </x:c>
      <x:c r="E311" s="10" t="s">
        <x:v>82</x:v>
      </x:c>
      <x:c r="F311" s="11" t="n">
        <x:v>1939</x:v>
      </x:c>
      <x:c r="G311" s="11" t="n">
        <x:v>2580</x:v>
      </x:c>
      <x:c r="H311" s="10" t="s">
        <x:v>76</x:v>
      </x:c>
      <x:c r="I311" t="n">
        <x:v>4.3</x:v>
      </x:c>
      <x:c r="J311" t="n">
        <x:v>4452</x:v>
      </x:c>
    </x:row>
    <x:row r="312" ht="15" hidden="0">
      <x:c r="A312" s="9" t="n">
        <x:v>45978</x:v>
      </x:c>
      <x:c r="B312" s="10" t="s">
        <x:v>92</x:v>
      </x:c>
      <x:c r="C312" s="10" t="s">
        <x:v>96</x:v>
      </x:c>
      <x:c r="D312" s="10" t="s">
        <x:v>80</x:v>
      </x:c>
      <x:c r="E312" s="10" t="s">
        <x:v>78</x:v>
      </x:c>
      <x:c r="F312" s="11" t="n">
        <x:v>2253</x:v>
      </x:c>
      <x:c r="G312" s="11" t="n">
        <x:v>2439</x:v>
      </x:c>
      <x:c r="H312" s="10" t="s">
        <x:v>83</x:v>
      </x:c>
      <x:c r="I312" t="n">
        <x:v>4</x:v>
      </x:c>
      <x:c r="J312" t="n">
        <x:v>4550</x:v>
      </x:c>
    </x:row>
    <x:row r="313" ht="15" hidden="0">
      <x:c r="A313" s="9" t="n">
        <x:v>45978</x:v>
      </x:c>
      <x:c r="B313" s="10" t="s">
        <x:v>92</x:v>
      </x:c>
      <x:c r="C313" s="10" t="s">
        <x:v>96</x:v>
      </x:c>
      <x:c r="D313" s="10" t="s">
        <x:v>81</x:v>
      </x:c>
      <x:c r="E313" s="10" t="s">
        <x:v>75</x:v>
      </x:c>
      <x:c r="F313" s="11" t="n">
        <x:v>2146</x:v>
      </x:c>
      <x:c r="G313" s="11" t="n">
        <x:v>2656</x:v>
      </x:c>
      <x:c r="H313" s="10" t="s">
        <x:v>76</x:v>
      </x:c>
      <x:c r="I313" t="n">
        <x:v>3.6</x:v>
      </x:c>
      <x:c r="J313" t="n">
        <x:v>852</x:v>
      </x:c>
    </x:row>
    <x:row r="314" ht="15" hidden="0">
      <x:c r="A314" s="9" t="n">
        <x:v>46006</x:v>
      </x:c>
      <x:c r="B314" s="10" t="s">
        <x:v>85</x:v>
      </x:c>
      <x:c r="C314" s="10" t="s">
        <x:v>87</x:v>
      </x:c>
      <x:c r="D314" s="10" t="s">
        <x:v>74</x:v>
      </x:c>
      <x:c r="E314" s="10" t="s">
        <x:v>82</x:v>
      </x:c>
      <x:c r="F314" s="11" t="n">
        <x:v>343</x:v>
      </x:c>
      <x:c r="G314" s="11" t="n">
        <x:v>436</x:v>
      </x:c>
      <x:c r="H314" s="10" t="s">
        <x:v>79</x:v>
      </x:c>
      <x:c r="I314" t="n">
        <x:v>3.6</x:v>
      </x:c>
      <x:c r="J314" t="n">
        <x:v>12690</x:v>
      </x:c>
    </x:row>
    <x:row r="315" ht="15" hidden="0">
      <x:c r="A315" s="9" t="n">
        <x:v>46006</x:v>
      </x:c>
      <x:c r="B315" s="10" t="s">
        <x:v>85</x:v>
      </x:c>
      <x:c r="C315" s="10" t="s">
        <x:v>87</x:v>
      </x:c>
      <x:c r="D315" s="10" t="s">
        <x:v>77</x:v>
      </x:c>
      <x:c r="E315" s="10" t="s">
        <x:v>82</x:v>
      </x:c>
      <x:c r="F315" s="11" t="n">
        <x:v>266</x:v>
      </x:c>
      <x:c r="G315" s="11" t="n">
        <x:v>355</x:v>
      </x:c>
      <x:c r="H315" s="10" t="s">
        <x:v>79</x:v>
      </x:c>
      <x:c r="I315" t="n">
        <x:v>4.6</x:v>
      </x:c>
      <x:c r="J315" t="n">
        <x:v>3354</x:v>
      </x:c>
    </x:row>
    <x:row r="316" ht="15" hidden="0">
      <x:c r="A316" s="9" t="n">
        <x:v>46006</x:v>
      </x:c>
      <x:c r="B316" s="10" t="s">
        <x:v>85</x:v>
      </x:c>
      <x:c r="C316" s="10" t="s">
        <x:v>87</x:v>
      </x:c>
      <x:c r="D316" s="10" t="s">
        <x:v>80</x:v>
      </x:c>
      <x:c r="E316" s="10" t="s">
        <x:v>78</x:v>
      </x:c>
      <x:c r="F316" s="11" t="n">
        <x:v>291</x:v>
      </x:c>
      <x:c r="G316" s="11" t="n">
        <x:v>365</x:v>
      </x:c>
      <x:c r="H316" s="10" t="s">
        <x:v>76</x:v>
      </x:c>
      <x:c r="I316" t="n">
        <x:v>3.5</x:v>
      </x:c>
      <x:c r="J316" t="n">
        <x:v>7906</x:v>
      </x:c>
    </x:row>
    <x:row r="317" ht="15" hidden="0">
      <x:c r="A317" s="9" t="n">
        <x:v>46006</x:v>
      </x:c>
      <x:c r="B317" s="10" t="s">
        <x:v>85</x:v>
      </x:c>
      <x:c r="C317" s="10" t="s">
        <x:v>87</x:v>
      </x:c>
      <x:c r="D317" s="10" t="s">
        <x:v>81</x:v>
      </x:c>
      <x:c r="E317" s="10" t="s">
        <x:v>75</x:v>
      </x:c>
      <x:c r="F317" s="11" t="n">
        <x:v>326</x:v>
      </x:c>
      <x:c r="G317" s="11" t="n">
        <x:v>367</x:v>
      </x:c>
      <x:c r="H317" s="10" t="s">
        <x:v>83</x:v>
      </x:c>
      <x:c r="I317" t="n">
        <x:v>3.7</x:v>
      </x:c>
      <x:c r="J317" t="n">
        <x:v>3789</x:v>
      </x:c>
    </x:row>
    <x:row r="318" ht="15" hidden="0">
      <x:c r="A318" s="9" t="n">
        <x:v>45992</x:v>
      </x:c>
      <x:c r="B318" s="10" t="s">
        <x:v>97</x:v>
      </x:c>
      <x:c r="C318" s="10" t="s">
        <x:v>107</x:v>
      </x:c>
      <x:c r="D318" s="10" t="s">
        <x:v>74</x:v>
      </x:c>
      <x:c r="E318" s="10" t="s">
        <x:v>82</x:v>
      </x:c>
      <x:c r="F318" s="11" t="n">
        <x:v>4048</x:v>
      </x:c>
      <x:c r="G318" s="11" t="n">
        <x:v>4817</x:v>
      </x:c>
      <x:c r="H318" s="10" t="s">
        <x:v>79</x:v>
      </x:c>
      <x:c r="I318" t="n">
        <x:v>4.3</x:v>
      </x:c>
      <x:c r="J318" t="n">
        <x:v>1051</x:v>
      </x:c>
    </x:row>
    <x:row r="319" ht="15" hidden="0">
      <x:c r="A319" s="9" t="n">
        <x:v>45992</x:v>
      </x:c>
      <x:c r="B319" s="10" t="s">
        <x:v>97</x:v>
      </x:c>
      <x:c r="C319" s="10" t="s">
        <x:v>107</x:v>
      </x:c>
      <x:c r="D319" s="10" t="s">
        <x:v>77</x:v>
      </x:c>
      <x:c r="E319" s="10" t="s">
        <x:v>78</x:v>
      </x:c>
      <x:c r="F319" s="11" t="n">
        <x:v>4316</x:v>
      </x:c>
      <x:c r="G319" s="11" t="n">
        <x:v>6066</x:v>
      </x:c>
      <x:c r="H319" s="10" t="s">
        <x:v>83</x:v>
      </x:c>
      <x:c r="I319" t="n">
        <x:v>4.3</x:v>
      </x:c>
      <x:c r="J319" t="n">
        <x:v>2122</x:v>
      </x:c>
    </x:row>
    <x:row r="320" ht="15" hidden="0">
      <x:c r="A320" s="9" t="n">
        <x:v>45992</x:v>
      </x:c>
      <x:c r="B320" s="10" t="s">
        <x:v>97</x:v>
      </x:c>
      <x:c r="C320" s="10" t="s">
        <x:v>107</x:v>
      </x:c>
      <x:c r="D320" s="10" t="s">
        <x:v>80</x:v>
      </x:c>
      <x:c r="E320" s="10" t="s">
        <x:v>78</x:v>
      </x:c>
      <x:c r="F320" s="11" t="n">
        <x:v>3773</x:v>
      </x:c>
      <x:c r="G320" s="11" t="n">
        <x:v>4915</x:v>
      </x:c>
      <x:c r="H320" s="10" t="s">
        <x:v>79</x:v>
      </x:c>
      <x:c r="I320" t="n">
        <x:v>3.5</x:v>
      </x:c>
      <x:c r="J320" t="n">
        <x:v>17677</x:v>
      </x:c>
    </x:row>
    <x:row r="321" ht="15" hidden="0">
      <x:c r="A321" s="9" t="n">
        <x:v>45992</x:v>
      </x:c>
      <x:c r="B321" s="10" t="s">
        <x:v>97</x:v>
      </x:c>
      <x:c r="C321" s="10" t="s">
        <x:v>107</x:v>
      </x:c>
      <x:c r="D321" s="10" t="s">
        <x:v>81</x:v>
      </x:c>
      <x:c r="E321" s="10" t="s">
        <x:v>75</x:v>
      </x:c>
      <x:c r="F321" s="11" t="n">
        <x:v>4196</x:v>
      </x:c>
      <x:c r="G321" s="11" t="n">
        <x:v>6249</x:v>
      </x:c>
      <x:c r="H321" s="10" t="s">
        <x:v>83</x:v>
      </x:c>
      <x:c r="I321" t="n">
        <x:v>4.3</x:v>
      </x:c>
      <x:c r="J321" t="n">
        <x:v>16070</x:v>
      </x:c>
    </x:row>
    <x:row r="322" ht="15" hidden="0">
      <x:c r="A322" s="9" t="n">
        <x:v>45992</x:v>
      </x:c>
      <x:c r="B322" s="10" t="s">
        <x:v>92</x:v>
      </x:c>
      <x:c r="C322" s="10" t="s">
        <x:v>93</x:v>
      </x:c>
      <x:c r="D322" s="10" t="s">
        <x:v>74</x:v>
      </x:c>
      <x:c r="E322" s="10" t="s">
        <x:v>82</x:v>
      </x:c>
      <x:c r="F322" s="11" t="n">
        <x:v>1859</x:v>
      </x:c>
      <x:c r="G322" s="11" t="n">
        <x:v>2280</x:v>
      </x:c>
      <x:c r="H322" s="10" t="s">
        <x:v>76</x:v>
      </x:c>
      <x:c r="I322" t="n">
        <x:v>4</x:v>
      </x:c>
      <x:c r="J322" t="n">
        <x:v>18761</x:v>
      </x:c>
    </x:row>
    <x:row r="323" ht="15" hidden="0">
      <x:c r="A323" s="9" t="n">
        <x:v>45992</x:v>
      </x:c>
      <x:c r="B323" s="10" t="s">
        <x:v>92</x:v>
      </x:c>
      <x:c r="C323" s="10" t="s">
        <x:v>93</x:v>
      </x:c>
      <x:c r="D323" s="10" t="s">
        <x:v>77</x:v>
      </x:c>
      <x:c r="E323" s="10" t="s">
        <x:v>78</x:v>
      </x:c>
      <x:c r="F323" s="11" t="n">
        <x:v>1673</x:v>
      </x:c>
      <x:c r="G323" s="11" t="n">
        <x:v>2194</x:v>
      </x:c>
      <x:c r="H323" s="10" t="s">
        <x:v>83</x:v>
      </x:c>
      <x:c r="I323" t="n">
        <x:v>4.1</x:v>
      </x:c>
      <x:c r="J323" t="n">
        <x:v>12501</x:v>
      </x:c>
    </x:row>
    <x:row r="324" ht="15" hidden="0">
      <x:c r="A324" s="9" t="n">
        <x:v>45992</x:v>
      </x:c>
      <x:c r="B324" s="10" t="s">
        <x:v>92</x:v>
      </x:c>
      <x:c r="C324" s="10" t="s">
        <x:v>93</x:v>
      </x:c>
      <x:c r="D324" s="10" t="s">
        <x:v>80</x:v>
      </x:c>
      <x:c r="E324" s="10" t="s">
        <x:v>75</x:v>
      </x:c>
      <x:c r="F324" s="11" t="n">
        <x:v>1499</x:v>
      </x:c>
      <x:c r="G324" s="11" t="n">
        <x:v>1937</x:v>
      </x:c>
      <x:c r="H324" s="10" t="s">
        <x:v>83</x:v>
      </x:c>
      <x:c r="I324" t="n">
        <x:v>3.8</x:v>
      </x:c>
      <x:c r="J324" t="n">
        <x:v>4077</x:v>
      </x:c>
    </x:row>
    <x:row r="325" ht="15" hidden="0">
      <x:c r="A325" s="9" t="n">
        <x:v>45992</x:v>
      </x:c>
      <x:c r="B325" s="10" t="s">
        <x:v>92</x:v>
      </x:c>
      <x:c r="C325" s="10" t="s">
        <x:v>93</x:v>
      </x:c>
      <x:c r="D325" s="10" t="s">
        <x:v>81</x:v>
      </x:c>
      <x:c r="E325" s="10" t="s">
        <x:v>75</x:v>
      </x:c>
      <x:c r="F325" s="11" t="n">
        <x:v>1781</x:v>
      </x:c>
      <x:c r="G325" s="11" t="n">
        <x:v>2666</x:v>
      </x:c>
      <x:c r="H325" s="10" t="s">
        <x:v>76</x:v>
      </x:c>
      <x:c r="I325" t="n">
        <x:v>4</x:v>
      </x:c>
      <x:c r="J325" t="n">
        <x:v>19297</x:v>
      </x:c>
    </x:row>
    <x:row r="326" ht="15" hidden="0">
      <x:c r="A326" s="9" t="n">
        <x:v>45943</x:v>
      </x:c>
      <x:c r="B326" s="10" t="s">
        <x:v>72</x:v>
      </x:c>
      <x:c r="C326" s="10" t="s">
        <x:v>95</x:v>
      </x:c>
      <x:c r="D326" s="10" t="s">
        <x:v>74</x:v>
      </x:c>
      <x:c r="E326" s="10" t="s">
        <x:v>78</x:v>
      </x:c>
      <x:c r="F326" s="11" t="n">
        <x:v>5900</x:v>
      </x:c>
      <x:c r="G326" s="11" t="n">
        <x:v>8534</x:v>
      </x:c>
      <x:c r="H326" s="10" t="s">
        <x:v>83</x:v>
      </x:c>
      <x:c r="I326" t="n">
        <x:v>3.8</x:v>
      </x:c>
      <x:c r="J326" t="n">
        <x:v>16199</x:v>
      </x:c>
    </x:row>
    <x:row r="327" ht="15" hidden="0">
      <x:c r="A327" s="9" t="n">
        <x:v>45943</x:v>
      </x:c>
      <x:c r="B327" s="10" t="s">
        <x:v>72</x:v>
      </x:c>
      <x:c r="C327" s="10" t="s">
        <x:v>95</x:v>
      </x:c>
      <x:c r="D327" s="10" t="s">
        <x:v>77</x:v>
      </x:c>
      <x:c r="E327" s="10" t="s">
        <x:v>75</x:v>
      </x:c>
      <x:c r="F327" s="11" t="n">
        <x:v>7303</x:v>
      </x:c>
      <x:c r="G327" s="11" t="n">
        <x:v>10010</x:v>
      </x:c>
      <x:c r="H327" s="10" t="s">
        <x:v>79</x:v>
      </x:c>
      <x:c r="I327" t="n">
        <x:v>4.1</x:v>
      </x:c>
      <x:c r="J327" t="n">
        <x:v>18379</x:v>
      </x:c>
    </x:row>
    <x:row r="328" ht="15" hidden="0">
      <x:c r="A328" s="9" t="n">
        <x:v>45943</x:v>
      </x:c>
      <x:c r="B328" s="10" t="s">
        <x:v>72</x:v>
      </x:c>
      <x:c r="C328" s="10" t="s">
        <x:v>95</x:v>
      </x:c>
      <x:c r="D328" s="10" t="s">
        <x:v>80</x:v>
      </x:c>
      <x:c r="E328" s="10" t="s">
        <x:v>82</x:v>
      </x:c>
      <x:c r="F328" s="11" t="n">
        <x:v>5927</x:v>
      </x:c>
      <x:c r="G328" s="11" t="n">
        <x:v>8577</x:v>
      </x:c>
      <x:c r="H328" s="10" t="s">
        <x:v>79</x:v>
      </x:c>
      <x:c r="I328" t="n">
        <x:v>4.6</x:v>
      </x:c>
      <x:c r="J328" t="n">
        <x:v>16876</x:v>
      </x:c>
    </x:row>
    <x:row r="329" ht="15" hidden="0">
      <x:c r="A329" s="9" t="n">
        <x:v>45943</x:v>
      </x:c>
      <x:c r="B329" s="10" t="s">
        <x:v>72</x:v>
      </x:c>
      <x:c r="C329" s="10" t="s">
        <x:v>95</x:v>
      </x:c>
      <x:c r="D329" s="10" t="s">
        <x:v>81</x:v>
      </x:c>
      <x:c r="E329" s="10" t="s">
        <x:v>75</x:v>
      </x:c>
      <x:c r="F329" s="11" t="n">
        <x:v>5953</x:v>
      </x:c>
      <x:c r="G329" s="11" t="n">
        <x:v>8533</x:v>
      </x:c>
      <x:c r="H329" s="10" t="s">
        <x:v>83</x:v>
      </x:c>
      <x:c r="I329" t="n">
        <x:v>4.1</x:v>
      </x:c>
      <x:c r="J329" t="n">
        <x:v>3135</x:v>
      </x:c>
    </x:row>
    <x:row r="330" ht="15" hidden="0">
      <x:c r="A330" s="9" t="n">
        <x:v>45971</x:v>
      </x:c>
      <x:c r="B330" s="10" t="s">
        <x:v>97</x:v>
      </x:c>
      <x:c r="C330" s="10" t="s">
        <x:v>111</x:v>
      </x:c>
      <x:c r="D330" s="10" t="s">
        <x:v>74</x:v>
      </x:c>
      <x:c r="E330" s="10" t="s">
        <x:v>75</x:v>
      </x:c>
      <x:c r="F330" s="11" t="n">
        <x:v>1184</x:v>
      </x:c>
      <x:c r="G330" s="11" t="n">
        <x:v>1769</x:v>
      </x:c>
      <x:c r="H330" s="10" t="s">
        <x:v>79</x:v>
      </x:c>
      <x:c r="I330" t="n">
        <x:v>3.5</x:v>
      </x:c>
      <x:c r="J330" t="n">
        <x:v>16855</x:v>
      </x:c>
    </x:row>
    <x:row r="331" ht="15" hidden="0">
      <x:c r="A331" s="9" t="n">
        <x:v>45971</x:v>
      </x:c>
      <x:c r="B331" s="10" t="s">
        <x:v>97</x:v>
      </x:c>
      <x:c r="C331" s="10" t="s">
        <x:v>111</x:v>
      </x:c>
      <x:c r="D331" s="10" t="s">
        <x:v>77</x:v>
      </x:c>
      <x:c r="E331" s="10" t="s">
        <x:v>82</x:v>
      </x:c>
      <x:c r="F331" s="11" t="n">
        <x:v>1249</x:v>
      </x:c>
      <x:c r="G331" s="11" t="n">
        <x:v>1822</x:v>
      </x:c>
      <x:c r="H331" s="10" t="s">
        <x:v>79</x:v>
      </x:c>
      <x:c r="I331" t="n">
        <x:v>4.1</x:v>
      </x:c>
      <x:c r="J331" t="n">
        <x:v>17860</x:v>
      </x:c>
    </x:row>
    <x:row r="332" ht="15" hidden="0">
      <x:c r="A332" s="9" t="n">
        <x:v>45971</x:v>
      </x:c>
      <x:c r="B332" s="10" t="s">
        <x:v>97</x:v>
      </x:c>
      <x:c r="C332" s="10" t="s">
        <x:v>111</x:v>
      </x:c>
      <x:c r="D332" s="10" t="s">
        <x:v>80</x:v>
      </x:c>
      <x:c r="E332" s="10" t="s">
        <x:v>78</x:v>
      </x:c>
      <x:c r="F332" s="11" t="n">
        <x:v>1416</x:v>
      </x:c>
      <x:c r="G332" s="11" t="n">
        <x:v>1850</x:v>
      </x:c>
      <x:c r="H332" s="10" t="s">
        <x:v>83</x:v>
      </x:c>
      <x:c r="I332" t="n">
        <x:v>4.4</x:v>
      </x:c>
      <x:c r="J332" t="n">
        <x:v>661</x:v>
      </x:c>
    </x:row>
    <x:row r="333" ht="15" hidden="0">
      <x:c r="A333" s="9" t="n">
        <x:v>45971</x:v>
      </x:c>
      <x:c r="B333" s="10" t="s">
        <x:v>97</x:v>
      </x:c>
      <x:c r="C333" s="10" t="s">
        <x:v>111</x:v>
      </x:c>
      <x:c r="D333" s="10" t="s">
        <x:v>81</x:v>
      </x:c>
      <x:c r="E333" s="10" t="s">
        <x:v>82</x:v>
      </x:c>
      <x:c r="F333" s="11" t="n">
        <x:v>1301</x:v>
      </x:c>
      <x:c r="G333" s="11" t="n">
        <x:v>1710</x:v>
      </x:c>
      <x:c r="H333" s="10" t="s">
        <x:v>83</x:v>
      </x:c>
      <x:c r="I333" t="n">
        <x:v>3.6</x:v>
      </x:c>
      <x:c r="J333" t="n">
        <x:v>14450</x:v>
      </x:c>
    </x:row>
    <x:row r="334" ht="15" hidden="0">
      <x:c r="A334" s="9" t="n">
        <x:v>45943</x:v>
      </x:c>
      <x:c r="B334" s="10" t="s">
        <x:v>92</x:v>
      </x:c>
      <x:c r="C334" s="10" t="s">
        <x:v>94</x:v>
      </x:c>
      <x:c r="D334" s="10" t="s">
        <x:v>74</x:v>
      </x:c>
      <x:c r="E334" s="10" t="s">
        <x:v>82</x:v>
      </x:c>
      <x:c r="F334" s="11" t="n">
        <x:v>1171</x:v>
      </x:c>
      <x:c r="G334" s="11" t="n">
        <x:v>1269</x:v>
      </x:c>
      <x:c r="H334" s="10" t="s">
        <x:v>76</x:v>
      </x:c>
      <x:c r="I334" t="n">
        <x:v>3.4</x:v>
      </x:c>
      <x:c r="J334" t="n">
        <x:v>16401</x:v>
      </x:c>
    </x:row>
    <x:row r="335" ht="15" hidden="0">
      <x:c r="A335" s="9" t="n">
        <x:v>45943</x:v>
      </x:c>
      <x:c r="B335" s="10" t="s">
        <x:v>92</x:v>
      </x:c>
      <x:c r="C335" s="10" t="s">
        <x:v>94</x:v>
      </x:c>
      <x:c r="D335" s="10" t="s">
        <x:v>77</x:v>
      </x:c>
      <x:c r="E335" s="10" t="s">
        <x:v>75</x:v>
      </x:c>
      <x:c r="F335" s="11" t="n">
        <x:v>1070</x:v>
      </x:c>
      <x:c r="G335" s="11" t="n">
        <x:v>1459</x:v>
      </x:c>
      <x:c r="H335" s="10" t="s">
        <x:v>83</x:v>
      </x:c>
      <x:c r="I335" t="n">
        <x:v>4.5</x:v>
      </x:c>
      <x:c r="J335" t="n">
        <x:v>13932</x:v>
      </x:c>
    </x:row>
    <x:row r="336" ht="15" hidden="0">
      <x:c r="A336" s="9" t="n">
        <x:v>45943</x:v>
      </x:c>
      <x:c r="B336" s="10" t="s">
        <x:v>92</x:v>
      </x:c>
      <x:c r="C336" s="10" t="s">
        <x:v>94</x:v>
      </x:c>
      <x:c r="D336" s="10" t="s">
        <x:v>80</x:v>
      </x:c>
      <x:c r="E336" s="10" t="s">
        <x:v>82</x:v>
      </x:c>
      <x:c r="F336" s="11" t="n">
        <x:v>1228</x:v>
      </x:c>
      <x:c r="G336" s="11" t="n">
        <x:v>1361</x:v>
      </x:c>
      <x:c r="H336" s="10" t="s">
        <x:v>83</x:v>
      </x:c>
      <x:c r="I336" t="n">
        <x:v>4.7</x:v>
      </x:c>
      <x:c r="J336" t="n">
        <x:v>16614</x:v>
      </x:c>
    </x:row>
    <x:row r="337" ht="15" hidden="0">
      <x:c r="A337" s="9" t="n">
        <x:v>45943</x:v>
      </x:c>
      <x:c r="B337" s="10" t="s">
        <x:v>92</x:v>
      </x:c>
      <x:c r="C337" s="10" t="s">
        <x:v>94</x:v>
      </x:c>
      <x:c r="D337" s="10" t="s">
        <x:v>81</x:v>
      </x:c>
      <x:c r="E337" s="10" t="s">
        <x:v>75</x:v>
      </x:c>
      <x:c r="F337" s="11" t="n">
        <x:v>1113</x:v>
      </x:c>
      <x:c r="G337" s="11" t="n">
        <x:v>1212</x:v>
      </x:c>
      <x:c r="H337" s="10" t="s">
        <x:v>83</x:v>
      </x:c>
      <x:c r="I337" t="n">
        <x:v>3.5</x:v>
      </x:c>
      <x:c r="J337" t="n">
        <x:v>3969</x:v>
      </x:c>
    </x:row>
    <x:row r="338" ht="15" hidden="0">
      <x:c r="A338" s="9" t="n">
        <x:v>46041</x:v>
      </x:c>
      <x:c r="B338" s="10" t="s">
        <x:v>85</x:v>
      </x:c>
      <x:c r="C338" s="10" t="s">
        <x:v>106</x:v>
      </x:c>
      <x:c r="D338" s="10" t="s">
        <x:v>74</x:v>
      </x:c>
      <x:c r="E338" s="10" t="s">
        <x:v>78</x:v>
      </x:c>
      <x:c r="F338" s="11" t="n">
        <x:v>167</x:v>
      </x:c>
      <x:c r="G338" s="11" t="n">
        <x:v>218</x:v>
      </x:c>
      <x:c r="H338" s="10" t="s">
        <x:v>76</x:v>
      </x:c>
      <x:c r="I338" t="n">
        <x:v>3.8</x:v>
      </x:c>
      <x:c r="J338" t="n">
        <x:v>4538</x:v>
      </x:c>
    </x:row>
    <x:row r="339" ht="15" hidden="0">
      <x:c r="A339" s="9" t="n">
        <x:v>46041</x:v>
      </x:c>
      <x:c r="B339" s="10" t="s">
        <x:v>85</x:v>
      </x:c>
      <x:c r="C339" s="10" t="s">
        <x:v>106</x:v>
      </x:c>
      <x:c r="D339" s="10" t="s">
        <x:v>77</x:v>
      </x:c>
      <x:c r="E339" s="10" t="s">
        <x:v>75</x:v>
      </x:c>
      <x:c r="F339" s="11" t="n">
        <x:v>199</x:v>
      </x:c>
      <x:c r="G339" s="11" t="n">
        <x:v>210</x:v>
      </x:c>
      <x:c r="H339" s="10" t="s">
        <x:v>83</x:v>
      </x:c>
      <x:c r="I339" t="n">
        <x:v>3.9</x:v>
      </x:c>
      <x:c r="J339" t="n">
        <x:v>4115</x:v>
      </x:c>
    </x:row>
    <x:row r="340" ht="15" hidden="0">
      <x:c r="A340" s="9" t="n">
        <x:v>46041</x:v>
      </x:c>
      <x:c r="B340" s="10" t="s">
        <x:v>85</x:v>
      </x:c>
      <x:c r="C340" s="10" t="s">
        <x:v>106</x:v>
      </x:c>
      <x:c r="D340" s="10" t="s">
        <x:v>80</x:v>
      </x:c>
      <x:c r="E340" s="10" t="s">
        <x:v>78</x:v>
      </x:c>
      <x:c r="F340" s="11" t="n">
        <x:v>171</x:v>
      </x:c>
      <x:c r="G340" s="11" t="n">
        <x:v>216</x:v>
      </x:c>
      <x:c r="H340" s="10" t="s">
        <x:v>76</x:v>
      </x:c>
      <x:c r="I340" t="n">
        <x:v>3.9</x:v>
      </x:c>
      <x:c r="J340" t="n">
        <x:v>10123</x:v>
      </x:c>
    </x:row>
    <x:row r="341" ht="15" hidden="0">
      <x:c r="A341" s="9" t="n">
        <x:v>46041</x:v>
      </x:c>
      <x:c r="B341" s="10" t="s">
        <x:v>85</x:v>
      </x:c>
      <x:c r="C341" s="10" t="s">
        <x:v>106</x:v>
      </x:c>
      <x:c r="D341" s="10" t="s">
        <x:v>81</x:v>
      </x:c>
      <x:c r="E341" s="10" t="s">
        <x:v>78</x:v>
      </x:c>
      <x:c r="F341" s="11" t="n">
        <x:v>203</x:v>
      </x:c>
      <x:c r="G341" s="11" t="n">
        <x:v>263</x:v>
      </x:c>
      <x:c r="H341" s="10" t="s">
        <x:v>76</x:v>
      </x:c>
      <x:c r="I341" t="n">
        <x:v>3.6</x:v>
      </x:c>
      <x:c r="J341" t="n">
        <x:v>16608</x:v>
      </x:c>
    </x:row>
    <x:row r="342" ht="15" hidden="0">
      <x:c r="A342" s="9" t="n">
        <x:v>46027</x:v>
      </x:c>
      <x:c r="B342" s="10" t="s">
        <x:v>72</x:v>
      </x:c>
      <x:c r="C342" s="10" t="s">
        <x:v>84</x:v>
      </x:c>
      <x:c r="D342" s="10" t="s">
        <x:v>74</x:v>
      </x:c>
      <x:c r="E342" s="10" t="s">
        <x:v>82</x:v>
      </x:c>
      <x:c r="F342" s="11" t="n">
        <x:v>604</x:v>
      </x:c>
      <x:c r="G342" s="11" t="n">
        <x:v>802</x:v>
      </x:c>
      <x:c r="H342" s="10" t="s">
        <x:v>83</x:v>
      </x:c>
      <x:c r="I342" t="n">
        <x:v>4.6</x:v>
      </x:c>
      <x:c r="J342" t="n">
        <x:v>14992</x:v>
      </x:c>
    </x:row>
    <x:row r="343" ht="15" hidden="0">
      <x:c r="A343" s="9" t="n">
        <x:v>46027</x:v>
      </x:c>
      <x:c r="B343" s="10" t="s">
        <x:v>72</x:v>
      </x:c>
      <x:c r="C343" s="10" t="s">
        <x:v>84</x:v>
      </x:c>
      <x:c r="D343" s="10" t="s">
        <x:v>77</x:v>
      </x:c>
      <x:c r="E343" s="10" t="s">
        <x:v>75</x:v>
      </x:c>
      <x:c r="F343" s="11" t="n">
        <x:v>513</x:v>
      </x:c>
      <x:c r="G343" s="11" t="n">
        <x:v>605</x:v>
      </x:c>
      <x:c r="H343" s="10" t="s">
        <x:v>83</x:v>
      </x:c>
      <x:c r="I343" t="n">
        <x:v>3.8</x:v>
      </x:c>
      <x:c r="J343" t="n">
        <x:v>13649</x:v>
      </x:c>
    </x:row>
    <x:row r="344" ht="15" hidden="0">
      <x:c r="A344" s="9" t="n">
        <x:v>46027</x:v>
      </x:c>
      <x:c r="B344" s="10" t="s">
        <x:v>72</x:v>
      </x:c>
      <x:c r="C344" s="10" t="s">
        <x:v>84</x:v>
      </x:c>
      <x:c r="D344" s="10" t="s">
        <x:v>80</x:v>
      </x:c>
      <x:c r="E344" s="10" t="s">
        <x:v>75</x:v>
      </x:c>
      <x:c r="F344" s="11" t="n">
        <x:v>502</x:v>
      </x:c>
      <x:c r="G344" s="11" t="n">
        <x:v>542</x:v>
      </x:c>
      <x:c r="H344" s="10" t="s">
        <x:v>76</x:v>
      </x:c>
      <x:c r="I344" t="n">
        <x:v>4.1</x:v>
      </x:c>
      <x:c r="J344" t="n">
        <x:v>14936</x:v>
      </x:c>
    </x:row>
    <x:row r="345" ht="15" hidden="0">
      <x:c r="A345" s="9" t="n">
        <x:v>46027</x:v>
      </x:c>
      <x:c r="B345" s="10" t="s">
        <x:v>72</x:v>
      </x:c>
      <x:c r="C345" s="10" t="s">
        <x:v>84</x:v>
      </x:c>
      <x:c r="D345" s="10" t="s">
        <x:v>81</x:v>
      </x:c>
      <x:c r="E345" s="10" t="s">
        <x:v>78</x:v>
      </x:c>
      <x:c r="F345" s="11" t="n">
        <x:v>599</x:v>
      </x:c>
      <x:c r="G345" s="11" t="n">
        <x:v>698</x:v>
      </x:c>
      <x:c r="H345" s="10" t="s">
        <x:v>83</x:v>
      </x:c>
      <x:c r="I345" t="n">
        <x:v>3.8</x:v>
      </x:c>
      <x:c r="J345" t="n">
        <x:v>14392</x:v>
      </x:c>
    </x:row>
    <x:row r="346" ht="15" hidden="0">
      <x:c r="A346" s="9" t="n">
        <x:v>45978</x:v>
      </x:c>
      <x:c r="B346" s="10" t="s">
        <x:v>88</x:v>
      </x:c>
      <x:c r="C346" s="10" t="s">
        <x:v>102</x:v>
      </x:c>
      <x:c r="D346" s="10" t="s">
        <x:v>74</x:v>
      </x:c>
      <x:c r="E346" s="10" t="s">
        <x:v>82</x:v>
      </x:c>
      <x:c r="F346" s="11" t="n">
        <x:v>327</x:v>
      </x:c>
      <x:c r="G346" s="11" t="n">
        <x:v>384</x:v>
      </x:c>
      <x:c r="H346" s="10" t="s">
        <x:v>76</x:v>
      </x:c>
      <x:c r="I346" t="n">
        <x:v>4.4</x:v>
      </x:c>
      <x:c r="J346" t="n">
        <x:v>903</x:v>
      </x:c>
    </x:row>
    <x:row r="347" ht="15" hidden="0">
      <x:c r="A347" s="9" t="n">
        <x:v>45978</x:v>
      </x:c>
      <x:c r="B347" s="10" t="s">
        <x:v>88</x:v>
      </x:c>
      <x:c r="C347" s="10" t="s">
        <x:v>102</x:v>
      </x:c>
      <x:c r="D347" s="10" t="s">
        <x:v>77</x:v>
      </x:c>
      <x:c r="E347" s="10" t="s">
        <x:v>82</x:v>
      </x:c>
      <x:c r="F347" s="11" t="n">
        <x:v>326</x:v>
      </x:c>
      <x:c r="G347" s="11" t="n">
        <x:v>484</x:v>
      </x:c>
      <x:c r="H347" s="10" t="s">
        <x:v>79</x:v>
      </x:c>
      <x:c r="I347" t="n">
        <x:v>3.7</x:v>
      </x:c>
      <x:c r="J347" t="n">
        <x:v>4959</x:v>
      </x:c>
    </x:row>
    <x:row r="348" ht="15" hidden="0">
      <x:c r="A348" s="9" t="n">
        <x:v>45978</x:v>
      </x:c>
      <x:c r="B348" s="10" t="s">
        <x:v>88</x:v>
      </x:c>
      <x:c r="C348" s="10" t="s">
        <x:v>102</x:v>
      </x:c>
      <x:c r="D348" s="10" t="s">
        <x:v>80</x:v>
      </x:c>
      <x:c r="E348" s="10" t="s">
        <x:v>78</x:v>
      </x:c>
      <x:c r="F348" s="11" t="n">
        <x:v>397</x:v>
      </x:c>
      <x:c r="G348" s="11" t="n">
        <x:v>516</x:v>
      </x:c>
      <x:c r="H348" s="10" t="s">
        <x:v>79</x:v>
      </x:c>
      <x:c r="I348" t="n">
        <x:v>4.6</x:v>
      </x:c>
      <x:c r="J348" t="n">
        <x:v>6333</x:v>
      </x:c>
    </x:row>
    <x:row r="349" ht="15" hidden="0">
      <x:c r="A349" s="9" t="n">
        <x:v>45978</x:v>
      </x:c>
      <x:c r="B349" s="10" t="s">
        <x:v>88</x:v>
      </x:c>
      <x:c r="C349" s="10" t="s">
        <x:v>102</x:v>
      </x:c>
      <x:c r="D349" s="10" t="s">
        <x:v>81</x:v>
      </x:c>
      <x:c r="E349" s="10" t="s">
        <x:v>82</x:v>
      </x:c>
      <x:c r="F349" s="11" t="n">
        <x:v>352</x:v>
      </x:c>
      <x:c r="G349" s="11" t="n">
        <x:v>371</x:v>
      </x:c>
      <x:c r="H349" s="10" t="s">
        <x:v>76</x:v>
      </x:c>
      <x:c r="I349" t="n">
        <x:v>3.5</x:v>
      </x:c>
      <x:c r="J349" t="n">
        <x:v>10790</x:v>
      </x:c>
    </x:row>
    <x:row r="350" ht="15" hidden="0">
      <x:c r="A350" s="9" t="n">
        <x:v>45943</x:v>
      </x:c>
      <x:c r="B350" s="10" t="s">
        <x:v>85</x:v>
      </x:c>
      <x:c r="C350" s="10" t="s">
        <x:v>106</x:v>
      </x:c>
      <x:c r="D350" s="10" t="s">
        <x:v>74</x:v>
      </x:c>
      <x:c r="E350" s="10" t="s">
        <x:v>82</x:v>
      </x:c>
      <x:c r="F350" s="11" t="n">
        <x:v>173</x:v>
      </x:c>
      <x:c r="G350" s="11" t="n">
        <x:v>226</x:v>
      </x:c>
      <x:c r="H350" s="10" t="s">
        <x:v>79</x:v>
      </x:c>
      <x:c r="I350" t="n">
        <x:v>4.7</x:v>
      </x:c>
      <x:c r="J350" t="n">
        <x:v>17617</x:v>
      </x:c>
    </x:row>
    <x:row r="351" ht="15" hidden="0">
      <x:c r="A351" s="9" t="n">
        <x:v>45943</x:v>
      </x:c>
      <x:c r="B351" s="10" t="s">
        <x:v>85</x:v>
      </x:c>
      <x:c r="C351" s="10" t="s">
        <x:v>106</x:v>
      </x:c>
      <x:c r="D351" s="10" t="s">
        <x:v>77</x:v>
      </x:c>
      <x:c r="E351" s="10" t="s">
        <x:v>75</x:v>
      </x:c>
      <x:c r="F351" s="11" t="n">
        <x:v>168</x:v>
      </x:c>
      <x:c r="G351" s="11" t="n">
        <x:v>190</x:v>
      </x:c>
      <x:c r="H351" s="10" t="s">
        <x:v>79</x:v>
      </x:c>
      <x:c r="I351" t="n">
        <x:v>4.3</x:v>
      </x:c>
      <x:c r="J351" t="n">
        <x:v>15077</x:v>
      </x:c>
    </x:row>
    <x:row r="352" ht="15" hidden="0">
      <x:c r="A352" s="9" t="n">
        <x:v>45943</x:v>
      </x:c>
      <x:c r="B352" s="10" t="s">
        <x:v>85</x:v>
      </x:c>
      <x:c r="C352" s="10" t="s">
        <x:v>106</x:v>
      </x:c>
      <x:c r="D352" s="10" t="s">
        <x:v>80</x:v>
      </x:c>
      <x:c r="E352" s="10" t="s">
        <x:v>75</x:v>
      </x:c>
      <x:c r="F352" s="11" t="n">
        <x:v>202</x:v>
      </x:c>
      <x:c r="G352" s="11" t="n">
        <x:v>236</x:v>
      </x:c>
      <x:c r="H352" s="10" t="s">
        <x:v>83</x:v>
      </x:c>
      <x:c r="I352" t="n">
        <x:v>4.5</x:v>
      </x:c>
      <x:c r="J352" t="n">
        <x:v>4869</x:v>
      </x:c>
    </x:row>
    <x:row r="353" ht="15" hidden="0">
      <x:c r="A353" s="9" t="n">
        <x:v>45943</x:v>
      </x:c>
      <x:c r="B353" s="10" t="s">
        <x:v>85</x:v>
      </x:c>
      <x:c r="C353" s="10" t="s">
        <x:v>106</x:v>
      </x:c>
      <x:c r="D353" s="10" t="s">
        <x:v>81</x:v>
      </x:c>
      <x:c r="E353" s="10" t="s">
        <x:v>75</x:v>
      </x:c>
      <x:c r="F353" s="11" t="n">
        <x:v>182</x:v>
      </x:c>
      <x:c r="G353" s="11" t="n">
        <x:v>249</x:v>
      </x:c>
      <x:c r="H353" s="10" t="s">
        <x:v>76</x:v>
      </x:c>
      <x:c r="I353" t="n">
        <x:v>3.6</x:v>
      </x:c>
      <x:c r="J353" t="n">
        <x:v>3146</x:v>
      </x:c>
    </x:row>
    <x:row r="354" ht="15" hidden="0">
      <x:c r="A354" s="9" t="n">
        <x:v>46020</x:v>
      </x:c>
      <x:c r="B354" s="10" t="s">
        <x:v>88</x:v>
      </x:c>
      <x:c r="C354" s="10" t="s">
        <x:v>91</x:v>
      </x:c>
      <x:c r="D354" s="10" t="s">
        <x:v>74</x:v>
      </x:c>
      <x:c r="E354" s="10" t="s">
        <x:v>78</x:v>
      </x:c>
      <x:c r="F354" s="11" t="n">
        <x:v>762</x:v>
      </x:c>
      <x:c r="G354" s="11" t="n">
        <x:v>900</x:v>
      </x:c>
      <x:c r="H354" s="10" t="s">
        <x:v>79</x:v>
      </x:c>
      <x:c r="I354" t="n">
        <x:v>4.6</x:v>
      </x:c>
      <x:c r="J354" t="n">
        <x:v>8063</x:v>
      </x:c>
    </x:row>
    <x:row r="355" ht="15" hidden="0">
      <x:c r="A355" s="9" t="n">
        <x:v>46020</x:v>
      </x:c>
      <x:c r="B355" s="10" t="s">
        <x:v>88</x:v>
      </x:c>
      <x:c r="C355" s="10" t="s">
        <x:v>91</x:v>
      </x:c>
      <x:c r="D355" s="10" t="s">
        <x:v>77</x:v>
      </x:c>
      <x:c r="E355" s="10" t="s">
        <x:v>82</x:v>
      </x:c>
      <x:c r="F355" s="11" t="n">
        <x:v>755</x:v>
      </x:c>
      <x:c r="G355" s="11" t="n">
        <x:v>966</x:v>
      </x:c>
      <x:c r="H355" s="10" t="s">
        <x:v>76</x:v>
      </x:c>
      <x:c r="I355" t="n">
        <x:v>3.8</x:v>
      </x:c>
      <x:c r="J355" t="n">
        <x:v>6004</x:v>
      </x:c>
    </x:row>
    <x:row r="356" ht="15" hidden="0">
      <x:c r="A356" s="9" t="n">
        <x:v>46020</x:v>
      </x:c>
      <x:c r="B356" s="10" t="s">
        <x:v>88</x:v>
      </x:c>
      <x:c r="C356" s="10" t="s">
        <x:v>91</x:v>
      </x:c>
      <x:c r="D356" s="10" t="s">
        <x:v>80</x:v>
      </x:c>
      <x:c r="E356" s="10" t="s">
        <x:v>75</x:v>
      </x:c>
      <x:c r="F356" s="11" t="n">
        <x:v>795</x:v>
      </x:c>
      <x:c r="G356" s="11" t="n">
        <x:v>1059</x:v>
      </x:c>
      <x:c r="H356" s="10" t="s">
        <x:v>79</x:v>
      </x:c>
      <x:c r="I356" t="n">
        <x:v>3.9</x:v>
      </x:c>
      <x:c r="J356" t="n">
        <x:v>8672</x:v>
      </x:c>
    </x:row>
    <x:row r="357" ht="15" hidden="0">
      <x:c r="A357" s="9" t="n">
        <x:v>46020</x:v>
      </x:c>
      <x:c r="B357" s="10" t="s">
        <x:v>88</x:v>
      </x:c>
      <x:c r="C357" s="10" t="s">
        <x:v>91</x:v>
      </x:c>
      <x:c r="D357" s="10" t="s">
        <x:v>81</x:v>
      </x:c>
      <x:c r="E357" s="10" t="s">
        <x:v>75</x:v>
      </x:c>
      <x:c r="F357" s="11" t="n">
        <x:v>666</x:v>
      </x:c>
      <x:c r="G357" s="11" t="n">
        <x:v>838</x:v>
      </x:c>
      <x:c r="H357" s="10" t="s">
        <x:v>83</x:v>
      </x:c>
      <x:c r="I357" t="n">
        <x:v>4.7</x:v>
      </x:c>
      <x:c r="J357" t="n">
        <x:v>7854</x:v>
      </x:c>
    </x:row>
    <x:row r="358" ht="15" hidden="0">
      <x:c r="A358" s="9" t="n">
        <x:v>46034</x:v>
      </x:c>
      <x:c r="B358" s="10" t="s">
        <x:v>85</x:v>
      </x:c>
      <x:c r="C358" s="10" t="s">
        <x:v>86</x:v>
      </x:c>
      <x:c r="D358" s="10" t="s">
        <x:v>74</x:v>
      </x:c>
      <x:c r="E358" s="10" t="s">
        <x:v>75</x:v>
      </x:c>
      <x:c r="F358" s="11" t="n">
        <x:v>315</x:v>
      </x:c>
      <x:c r="G358" s="11" t="n">
        <x:v>464</x:v>
      </x:c>
      <x:c r="H358" s="10" t="s">
        <x:v>79</x:v>
      </x:c>
      <x:c r="I358" t="n">
        <x:v>4.2</x:v>
      </x:c>
      <x:c r="J358" t="n">
        <x:v>3311</x:v>
      </x:c>
    </x:row>
    <x:row r="359" ht="15" hidden="0">
      <x:c r="A359" s="9" t="n">
        <x:v>46034</x:v>
      </x:c>
      <x:c r="B359" s="10" t="s">
        <x:v>85</x:v>
      </x:c>
      <x:c r="C359" s="10" t="s">
        <x:v>86</x:v>
      </x:c>
      <x:c r="D359" s="10" t="s">
        <x:v>77</x:v>
      </x:c>
      <x:c r="E359" s="10" t="s">
        <x:v>82</x:v>
      </x:c>
      <x:c r="F359" s="11" t="n">
        <x:v>332</x:v>
      </x:c>
      <x:c r="G359" s="11" t="n">
        <x:v>437</x:v>
      </x:c>
      <x:c r="H359" s="10" t="s">
        <x:v>79</x:v>
      </x:c>
      <x:c r="I359" t="n">
        <x:v>3.7</x:v>
      </x:c>
      <x:c r="J359" t="n">
        <x:v>789</x:v>
      </x:c>
    </x:row>
    <x:row r="360" ht="15" hidden="0">
      <x:c r="A360" s="9" t="n">
        <x:v>46034</x:v>
      </x:c>
      <x:c r="B360" s="10" t="s">
        <x:v>85</x:v>
      </x:c>
      <x:c r="C360" s="10" t="s">
        <x:v>86</x:v>
      </x:c>
      <x:c r="D360" s="10" t="s">
        <x:v>80</x:v>
      </x:c>
      <x:c r="E360" s="10" t="s">
        <x:v>82</x:v>
      </x:c>
      <x:c r="F360" s="11" t="n">
        <x:v>299</x:v>
      </x:c>
      <x:c r="G360" s="11" t="n">
        <x:v>315</x:v>
      </x:c>
      <x:c r="H360" s="10" t="s">
        <x:v>79</x:v>
      </x:c>
      <x:c r="I360" t="n">
        <x:v>3.7</x:v>
      </x:c>
      <x:c r="J360" t="n">
        <x:v>2253</x:v>
      </x:c>
    </x:row>
    <x:row r="361" ht="15" hidden="0">
      <x:c r="A361" s="9" t="n">
        <x:v>46034</x:v>
      </x:c>
      <x:c r="B361" s="10" t="s">
        <x:v>85</x:v>
      </x:c>
      <x:c r="C361" s="10" t="s">
        <x:v>86</x:v>
      </x:c>
      <x:c r="D361" s="10" t="s">
        <x:v>81</x:v>
      </x:c>
      <x:c r="E361" s="10" t="s">
        <x:v>75</x:v>
      </x:c>
      <x:c r="F361" s="11" t="n">
        <x:v>324</x:v>
      </x:c>
      <x:c r="G361" s="11" t="n">
        <x:v>481</x:v>
      </x:c>
      <x:c r="H361" s="10" t="s">
        <x:v>83</x:v>
      </x:c>
      <x:c r="I361" t="n">
        <x:v>4.3</x:v>
      </x:c>
      <x:c r="J361" t="n">
        <x:v>9350</x:v>
      </x:c>
    </x:row>
    <x:row r="362" ht="15" hidden="0">
      <x:c r="A362" s="9" t="n">
        <x:v>46069</x:v>
      </x:c>
      <x:c r="B362" s="10" t="s">
        <x:v>85</x:v>
      </x:c>
      <x:c r="C362" s="10" t="s">
        <x:v>103</x:v>
      </x:c>
      <x:c r="D362" s="10" t="s">
        <x:v>74</x:v>
      </x:c>
      <x:c r="E362" s="10" t="s">
        <x:v>75</x:v>
      </x:c>
      <x:c r="F362" s="11" t="n">
        <x:v>851</x:v>
      </x:c>
      <x:c r="G362" s="11" t="n">
        <x:v>1231</x:v>
      </x:c>
      <x:c r="H362" s="10" t="s">
        <x:v>83</x:v>
      </x:c>
      <x:c r="I362" t="n">
        <x:v>4.1</x:v>
      </x:c>
      <x:c r="J362" t="n">
        <x:v>16266</x:v>
      </x:c>
    </x:row>
    <x:row r="363" ht="15" hidden="0">
      <x:c r="A363" s="9" t="n">
        <x:v>46069</x:v>
      </x:c>
      <x:c r="B363" s="10" t="s">
        <x:v>85</x:v>
      </x:c>
      <x:c r="C363" s="10" t="s">
        <x:v>103</x:v>
      </x:c>
      <x:c r="D363" s="10" t="s">
        <x:v>77</x:v>
      </x:c>
      <x:c r="E363" s="10" t="s">
        <x:v>78</x:v>
      </x:c>
      <x:c r="F363" s="11" t="n">
        <x:v>969</x:v>
      </x:c>
      <x:c r="G363" s="11" t="n">
        <x:v>1277</x:v>
      </x:c>
      <x:c r="H363" s="10" t="s">
        <x:v>83</x:v>
      </x:c>
      <x:c r="I363" t="n">
        <x:v>4.6</x:v>
      </x:c>
      <x:c r="J363" t="n">
        <x:v>18539</x:v>
      </x:c>
    </x:row>
    <x:row r="364" ht="15" hidden="0">
      <x:c r="A364" s="9" t="n">
        <x:v>46069</x:v>
      </x:c>
      <x:c r="B364" s="10" t="s">
        <x:v>85</x:v>
      </x:c>
      <x:c r="C364" s="10" t="s">
        <x:v>103</x:v>
      </x:c>
      <x:c r="D364" s="10" t="s">
        <x:v>80</x:v>
      </x:c>
      <x:c r="E364" s="10" t="s">
        <x:v>78</x:v>
      </x:c>
      <x:c r="F364" s="11" t="n">
        <x:v>772</x:v>
      </x:c>
      <x:c r="G364" s="11" t="n">
        <x:v>1079</x:v>
      </x:c>
      <x:c r="H364" s="10" t="s">
        <x:v>83</x:v>
      </x:c>
      <x:c r="I364" t="n">
        <x:v>3.6</x:v>
      </x:c>
      <x:c r="J364" t="n">
        <x:v>10535</x:v>
      </x:c>
    </x:row>
    <x:row r="365" ht="15" hidden="0">
      <x:c r="A365" s="9" t="n">
        <x:v>46069</x:v>
      </x:c>
      <x:c r="B365" s="10" t="s">
        <x:v>85</x:v>
      </x:c>
      <x:c r="C365" s="10" t="s">
        <x:v>103</x:v>
      </x:c>
      <x:c r="D365" s="10" t="s">
        <x:v>81</x:v>
      </x:c>
      <x:c r="E365" s="10" t="s">
        <x:v>82</x:v>
      </x:c>
      <x:c r="F365" s="11" t="n">
        <x:v>792</x:v>
      </x:c>
      <x:c r="G365" s="11" t="n">
        <x:v>967</x:v>
      </x:c>
      <x:c r="H365" s="10" t="s">
        <x:v>76</x:v>
      </x:c>
      <x:c r="I365" t="n">
        <x:v>4.5</x:v>
      </x:c>
      <x:c r="J365" t="n">
        <x:v>19272</x:v>
      </x:c>
    </x:row>
    <x:row r="366" ht="15" hidden="0">
      <x:c r="A366" s="9" t="n">
        <x:v>45978</x:v>
      </x:c>
      <x:c r="B366" s="10" t="s">
        <x:v>85</x:v>
      </x:c>
      <x:c r="C366" s="10" t="s">
        <x:v>87</x:v>
      </x:c>
      <x:c r="D366" s="10" t="s">
        <x:v>74</x:v>
      </x:c>
      <x:c r="E366" s="10" t="s">
        <x:v>78</x:v>
      </x:c>
      <x:c r="F366" s="11" t="n">
        <x:v>355</x:v>
      </x:c>
      <x:c r="G366" s="11" t="n">
        <x:v>412</x:v>
      </x:c>
      <x:c r="H366" s="10" t="s">
        <x:v>83</x:v>
      </x:c>
      <x:c r="I366" t="n">
        <x:v>4.5</x:v>
      </x:c>
      <x:c r="J366" t="n">
        <x:v>3134</x:v>
      </x:c>
    </x:row>
    <x:row r="367" ht="15" hidden="0">
      <x:c r="A367" s="9" t="n">
        <x:v>45978</x:v>
      </x:c>
      <x:c r="B367" s="10" t="s">
        <x:v>85</x:v>
      </x:c>
      <x:c r="C367" s="10" t="s">
        <x:v>87</x:v>
      </x:c>
      <x:c r="D367" s="10" t="s">
        <x:v>77</x:v>
      </x:c>
      <x:c r="E367" s="10" t="s">
        <x:v>75</x:v>
      </x:c>
      <x:c r="F367" s="11" t="n">
        <x:v>405</x:v>
      </x:c>
      <x:c r="G367" s="11" t="n">
        <x:v>435</x:v>
      </x:c>
      <x:c r="H367" s="10" t="s">
        <x:v>83</x:v>
      </x:c>
      <x:c r="I367" t="n">
        <x:v>4.6</x:v>
      </x:c>
      <x:c r="J367" t="n">
        <x:v>4310</x:v>
      </x:c>
    </x:row>
    <x:row r="368" ht="15" hidden="0">
      <x:c r="A368" s="9" t="n">
        <x:v>45978</x:v>
      </x:c>
      <x:c r="B368" s="10" t="s">
        <x:v>85</x:v>
      </x:c>
      <x:c r="C368" s="10" t="s">
        <x:v>87</x:v>
      </x:c>
      <x:c r="D368" s="10" t="s">
        <x:v>80</x:v>
      </x:c>
      <x:c r="E368" s="10" t="s">
        <x:v>75</x:v>
      </x:c>
      <x:c r="F368" s="11" t="n">
        <x:v>364</x:v>
      </x:c>
      <x:c r="G368" s="11" t="n">
        <x:v>459</x:v>
      </x:c>
      <x:c r="H368" s="10" t="s">
        <x:v>83</x:v>
      </x:c>
      <x:c r="I368" t="n">
        <x:v>3.8</x:v>
      </x:c>
      <x:c r="J368" t="n">
        <x:v>18522</x:v>
      </x:c>
    </x:row>
    <x:row r="369" ht="15" hidden="0">
      <x:c r="A369" s="9" t="n">
        <x:v>45978</x:v>
      </x:c>
      <x:c r="B369" s="10" t="s">
        <x:v>85</x:v>
      </x:c>
      <x:c r="C369" s="10" t="s">
        <x:v>87</x:v>
      </x:c>
      <x:c r="D369" s="10" t="s">
        <x:v>81</x:v>
      </x:c>
      <x:c r="E369" s="10" t="s">
        <x:v>82</x:v>
      </x:c>
      <x:c r="F369" s="11" t="n">
        <x:v>399</x:v>
      </x:c>
      <x:c r="G369" s="11" t="n">
        <x:v>589</x:v>
      </x:c>
      <x:c r="H369" s="10" t="s">
        <x:v>76</x:v>
      </x:c>
      <x:c r="I369" t="n">
        <x:v>3.7</x:v>
      </x:c>
      <x:c r="J369" t="n">
        <x:v>1549</x:v>
      </x:c>
    </x:row>
    <x:row r="370" ht="15" hidden="0">
      <x:c r="A370" s="9" t="n">
        <x:v>45999</x:v>
      </x:c>
      <x:c r="B370" s="10" t="s">
        <x:v>97</x:v>
      </x:c>
      <x:c r="C370" s="10" t="s">
        <x:v>111</x:v>
      </x:c>
      <x:c r="D370" s="10" t="s">
        <x:v>74</x:v>
      </x:c>
      <x:c r="E370" s="10" t="s">
        <x:v>75</x:v>
      </x:c>
      <x:c r="F370" s="11" t="n">
        <x:v>1722</x:v>
      </x:c>
      <x:c r="G370" s="11" t="n">
        <x:v>2069</x:v>
      </x:c>
      <x:c r="H370" s="10" t="s">
        <x:v>76</x:v>
      </x:c>
      <x:c r="I370" t="n">
        <x:v>3.5</x:v>
      </x:c>
      <x:c r="J370" t="n">
        <x:v>12560</x:v>
      </x:c>
    </x:row>
    <x:row r="371" ht="15" hidden="0">
      <x:c r="A371" s="9" t="n">
        <x:v>45999</x:v>
      </x:c>
      <x:c r="B371" s="10" t="s">
        <x:v>97</x:v>
      </x:c>
      <x:c r="C371" s="10" t="s">
        <x:v>111</x:v>
      </x:c>
      <x:c r="D371" s="10" t="s">
        <x:v>77</x:v>
      </x:c>
      <x:c r="E371" s="10" t="s">
        <x:v>78</x:v>
      </x:c>
      <x:c r="F371" s="11" t="n">
        <x:v>1887</x:v>
      </x:c>
      <x:c r="G371" s="11" t="n">
        <x:v>2497</x:v>
      </x:c>
      <x:c r="H371" s="10" t="s">
        <x:v>76</x:v>
      </x:c>
      <x:c r="I371" t="n">
        <x:v>4.3</x:v>
      </x:c>
      <x:c r="J371" t="n">
        <x:v>5169</x:v>
      </x:c>
    </x:row>
    <x:row r="372" ht="15" hidden="0">
      <x:c r="A372" s="9" t="n">
        <x:v>45999</x:v>
      </x:c>
      <x:c r="B372" s="10" t="s">
        <x:v>97</x:v>
      </x:c>
      <x:c r="C372" s="10" t="s">
        <x:v>111</x:v>
      </x:c>
      <x:c r="D372" s="10" t="s">
        <x:v>80</x:v>
      </x:c>
      <x:c r="E372" s="10" t="s">
        <x:v>78</x:v>
      </x:c>
      <x:c r="F372" s="11" t="n">
        <x:v>1600</x:v>
      </x:c>
      <x:c r="G372" s="11" t="n">
        <x:v>1752</x:v>
      </x:c>
      <x:c r="H372" s="10" t="s">
        <x:v>83</x:v>
      </x:c>
      <x:c r="I372" t="n">
        <x:v>4.1</x:v>
      </x:c>
      <x:c r="J372" t="n">
        <x:v>2170</x:v>
      </x:c>
    </x:row>
    <x:row r="373" ht="15" hidden="0">
      <x:c r="A373" s="9" t="n">
        <x:v>45999</x:v>
      </x:c>
      <x:c r="B373" s="10" t="s">
        <x:v>97</x:v>
      </x:c>
      <x:c r="C373" s="10" t="s">
        <x:v>111</x:v>
      </x:c>
      <x:c r="D373" s="10" t="s">
        <x:v>81</x:v>
      </x:c>
      <x:c r="E373" s="10" t="s">
        <x:v>78</x:v>
      </x:c>
      <x:c r="F373" s="11" t="n">
        <x:v>2097</x:v>
      </x:c>
      <x:c r="G373" s="11" t="n">
        <x:v>2654</x:v>
      </x:c>
      <x:c r="H373" s="10" t="s">
        <x:v>76</x:v>
      </x:c>
      <x:c r="I373" t="n">
        <x:v>3.5</x:v>
      </x:c>
      <x:c r="J373" t="n">
        <x:v>17587</x:v>
      </x:c>
    </x:row>
    <x:row r="374" ht="15" hidden="0">
      <x:c r="A374" s="9" t="n">
        <x:v>46048</x:v>
      </x:c>
      <x:c r="B374" s="10" t="s">
        <x:v>97</x:v>
      </x:c>
      <x:c r="C374" s="10" t="s">
        <x:v>107</x:v>
      </x:c>
      <x:c r="D374" s="10" t="s">
        <x:v>74</x:v>
      </x:c>
      <x:c r="E374" s="10" t="s">
        <x:v>82</x:v>
      </x:c>
      <x:c r="F374" s="11" t="n">
        <x:v>3588</x:v>
      </x:c>
      <x:c r="G374" s="11" t="n">
        <x:v>4951</x:v>
      </x:c>
      <x:c r="H374" s="10" t="s">
        <x:v>83</x:v>
      </x:c>
      <x:c r="I374" t="n">
        <x:v>4</x:v>
      </x:c>
      <x:c r="J374" t="n">
        <x:v>7313</x:v>
      </x:c>
    </x:row>
    <x:row r="375" ht="15" hidden="0">
      <x:c r="A375" s="9" t="n">
        <x:v>46048</x:v>
      </x:c>
      <x:c r="B375" s="10" t="s">
        <x:v>97</x:v>
      </x:c>
      <x:c r="C375" s="10" t="s">
        <x:v>107</x:v>
      </x:c>
      <x:c r="D375" s="10" t="s">
        <x:v>77</x:v>
      </x:c>
      <x:c r="E375" s="10" t="s">
        <x:v>78</x:v>
      </x:c>
      <x:c r="F375" s="11" t="n">
        <x:v>3354</x:v>
      </x:c>
      <x:c r="G375" s="11" t="n">
        <x:v>4088</x:v>
      </x:c>
      <x:c r="H375" s="10" t="s">
        <x:v>76</x:v>
      </x:c>
      <x:c r="I375" t="n">
        <x:v>4.4</x:v>
      </x:c>
      <x:c r="J375" t="n">
        <x:v>4550</x:v>
      </x:c>
    </x:row>
    <x:row r="376" ht="15" hidden="0">
      <x:c r="A376" s="9" t="n">
        <x:v>46048</x:v>
      </x:c>
      <x:c r="B376" s="10" t="s">
        <x:v>97</x:v>
      </x:c>
      <x:c r="C376" s="10" t="s">
        <x:v>107</x:v>
      </x:c>
      <x:c r="D376" s="10" t="s">
        <x:v>80</x:v>
      </x:c>
      <x:c r="E376" s="10" t="s">
        <x:v>78</x:v>
      </x:c>
      <x:c r="F376" s="11" t="n">
        <x:v>3439</x:v>
      </x:c>
      <x:c r="G376" s="11" t="n">
        <x:v>3812</x:v>
      </x:c>
      <x:c r="H376" s="10" t="s">
        <x:v>83</x:v>
      </x:c>
      <x:c r="I376" t="n">
        <x:v>3.6</x:v>
      </x:c>
      <x:c r="J376" t="n">
        <x:v>1498</x:v>
      </x:c>
    </x:row>
    <x:row r="377" ht="15" hidden="0">
      <x:c r="A377" s="9" t="n">
        <x:v>46048</x:v>
      </x:c>
      <x:c r="B377" s="10" t="s">
        <x:v>97</x:v>
      </x:c>
      <x:c r="C377" s="10" t="s">
        <x:v>107</x:v>
      </x:c>
      <x:c r="D377" s="10" t="s">
        <x:v>81</x:v>
      </x:c>
      <x:c r="E377" s="10" t="s">
        <x:v>75</x:v>
      </x:c>
      <x:c r="F377" s="11" t="n">
        <x:v>4289</x:v>
      </x:c>
      <x:c r="G377" s="11" t="n">
        <x:v>6202</x:v>
      </x:c>
      <x:c r="H377" s="10" t="s">
        <x:v>76</x:v>
      </x:c>
      <x:c r="I377" t="n">
        <x:v>3.4</x:v>
      </x:c>
      <x:c r="J377" t="n">
        <x:v>17634</x:v>
      </x:c>
    </x:row>
    <x:row r="378" ht="15" hidden="0">
      <x:c r="A378" s="9" t="n">
        <x:v>46027</x:v>
      </x:c>
      <x:c r="B378" s="10" t="s">
        <x:v>72</x:v>
      </x:c>
      <x:c r="C378" s="10" t="s">
        <x:v>90</x:v>
      </x:c>
      <x:c r="D378" s="10" t="s">
        <x:v>74</x:v>
      </x:c>
      <x:c r="E378" s="10" t="s">
        <x:v>75</x:v>
      </x:c>
      <x:c r="F378" s="11" t="n">
        <x:v>2973</x:v>
      </x:c>
      <x:c r="G378" s="11" t="n">
        <x:v>3160</x:v>
      </x:c>
      <x:c r="H378" s="10" t="s">
        <x:v>83</x:v>
      </x:c>
      <x:c r="I378" t="n">
        <x:v>4.7</x:v>
      </x:c>
      <x:c r="J378" t="n">
        <x:v>2762</x:v>
      </x:c>
    </x:row>
    <x:row r="379" ht="15" hidden="0">
      <x:c r="A379" s="9" t="n">
        <x:v>46027</x:v>
      </x:c>
      <x:c r="B379" s="10" t="s">
        <x:v>72</x:v>
      </x:c>
      <x:c r="C379" s="10" t="s">
        <x:v>90</x:v>
      </x:c>
      <x:c r="D379" s="10" t="s">
        <x:v>77</x:v>
      </x:c>
      <x:c r="E379" s="10" t="s">
        <x:v>82</x:v>
      </x:c>
      <x:c r="F379" s="11" t="n">
        <x:v>3338</x:v>
      </x:c>
      <x:c r="G379" s="11" t="n">
        <x:v>4542</x:v>
      </x:c>
      <x:c r="H379" s="10" t="s">
        <x:v>76</x:v>
      </x:c>
      <x:c r="I379" t="n">
        <x:v>4</x:v>
      </x:c>
      <x:c r="J379" t="n">
        <x:v>10276</x:v>
      </x:c>
    </x:row>
    <x:row r="380" ht="15" hidden="0">
      <x:c r="A380" s="9" t="n">
        <x:v>46027</x:v>
      </x:c>
      <x:c r="B380" s="10" t="s">
        <x:v>72</x:v>
      </x:c>
      <x:c r="C380" s="10" t="s">
        <x:v>90</x:v>
      </x:c>
      <x:c r="D380" s="10" t="s">
        <x:v>80</x:v>
      </x:c>
      <x:c r="E380" s="10" t="s">
        <x:v>82</x:v>
      </x:c>
      <x:c r="F380" s="11" t="n">
        <x:v>3836</x:v>
      </x:c>
      <x:c r="G380" s="11" t="n">
        <x:v>5318</x:v>
      </x:c>
      <x:c r="H380" s="10" t="s">
        <x:v>79</x:v>
      </x:c>
      <x:c r="I380" t="n">
        <x:v>4</x:v>
      </x:c>
      <x:c r="J380" t="n">
        <x:v>6250</x:v>
      </x:c>
    </x:row>
    <x:row r="381" ht="15" hidden="0">
      <x:c r="A381" s="9" t="n">
        <x:v>46027</x:v>
      </x:c>
      <x:c r="B381" s="10" t="s">
        <x:v>72</x:v>
      </x:c>
      <x:c r="C381" s="10" t="s">
        <x:v>90</x:v>
      </x:c>
      <x:c r="D381" s="10" t="s">
        <x:v>81</x:v>
      </x:c>
      <x:c r="E381" s="10" t="s">
        <x:v>78</x:v>
      </x:c>
      <x:c r="F381" s="11" t="n">
        <x:v>3400</x:v>
      </x:c>
      <x:c r="G381" s="11" t="n">
        <x:v>4610</x:v>
      </x:c>
      <x:c r="H381" s="10" t="s">
        <x:v>83</x:v>
      </x:c>
      <x:c r="I381" t="n">
        <x:v>4.1</x:v>
      </x:c>
      <x:c r="J381" t="n">
        <x:v>14272</x:v>
      </x:c>
    </x:row>
    <x:row r="382" ht="15" hidden="0">
      <x:c r="A382" s="9" t="n">
        <x:v>45950</x:v>
      </x:c>
      <x:c r="B382" s="10" t="s">
        <x:v>88</x:v>
      </x:c>
      <x:c r="C382" s="10" t="s">
        <x:v>99</x:v>
      </x:c>
      <x:c r="D382" s="10" t="s">
        <x:v>74</x:v>
      </x:c>
      <x:c r="E382" s="10" t="s">
        <x:v>82</x:v>
      </x:c>
      <x:c r="F382" s="11" t="n">
        <x:v>503</x:v>
      </x:c>
      <x:c r="G382" s="11" t="n">
        <x:v>531</x:v>
      </x:c>
      <x:c r="H382" s="10" t="s">
        <x:v>83</x:v>
      </x:c>
      <x:c r="I382" t="n">
        <x:v>4.4</x:v>
      </x:c>
      <x:c r="J382" t="n">
        <x:v>932</x:v>
      </x:c>
    </x:row>
    <x:row r="383" ht="15" hidden="0">
      <x:c r="A383" s="9" t="n">
        <x:v>45950</x:v>
      </x:c>
      <x:c r="B383" s="10" t="s">
        <x:v>88</x:v>
      </x:c>
      <x:c r="C383" s="10" t="s">
        <x:v>99</x:v>
      </x:c>
      <x:c r="D383" s="10" t="s">
        <x:v>77</x:v>
      </x:c>
      <x:c r="E383" s="10" t="s">
        <x:v>82</x:v>
      </x:c>
      <x:c r="F383" s="11" t="n">
        <x:v>498</x:v>
      </x:c>
      <x:c r="G383" s="11" t="n">
        <x:v>547</x:v>
      </x:c>
      <x:c r="H383" s="10" t="s">
        <x:v>79</x:v>
      </x:c>
      <x:c r="I383" t="n">
        <x:v>4.5</x:v>
      </x:c>
      <x:c r="J383" t="n">
        <x:v>9597</x:v>
      </x:c>
    </x:row>
    <x:row r="384" ht="15" hidden="0">
      <x:c r="A384" s="9" t="n">
        <x:v>45950</x:v>
      </x:c>
      <x:c r="B384" s="10" t="s">
        <x:v>88</x:v>
      </x:c>
      <x:c r="C384" s="10" t="s">
        <x:v>99</x:v>
      </x:c>
      <x:c r="D384" s="10" t="s">
        <x:v>80</x:v>
      </x:c>
      <x:c r="E384" s="10" t="s">
        <x:v>82</x:v>
      </x:c>
      <x:c r="F384" s="11" t="n">
        <x:v>561</x:v>
      </x:c>
      <x:c r="G384" s="11" t="n">
        <x:v>695</x:v>
      </x:c>
      <x:c r="H384" s="10" t="s">
        <x:v>79</x:v>
      </x:c>
      <x:c r="I384" t="n">
        <x:v>3.4</x:v>
      </x:c>
      <x:c r="J384" t="n">
        <x:v>16953</x:v>
      </x:c>
    </x:row>
    <x:row r="385" ht="15" hidden="0">
      <x:c r="A385" s="9" t="n">
        <x:v>45950</x:v>
      </x:c>
      <x:c r="B385" s="10" t="s">
        <x:v>88</x:v>
      </x:c>
      <x:c r="C385" s="10" t="s">
        <x:v>99</x:v>
      </x:c>
      <x:c r="D385" s="10" t="s">
        <x:v>81</x:v>
      </x:c>
      <x:c r="E385" s="10" t="s">
        <x:v>82</x:v>
      </x:c>
      <x:c r="F385" s="11" t="n">
        <x:v>493</x:v>
      </x:c>
      <x:c r="G385" s="11" t="n">
        <x:v>580</x:v>
      </x:c>
      <x:c r="H385" s="10" t="s">
        <x:v>83</x:v>
      </x:c>
      <x:c r="I385" t="n">
        <x:v>3.7</x:v>
      </x:c>
      <x:c r="J385" t="n">
        <x:v>6263</x:v>
      </x:c>
    </x:row>
    <x:row r="386" ht="15" hidden="0">
      <x:c r="A386" s="9" t="n">
        <x:v>45943</x:v>
      </x:c>
      <x:c r="B386" s="10" t="s">
        <x:v>92</x:v>
      </x:c>
      <x:c r="C386" s="10" t="s">
        <x:v>96</x:v>
      </x:c>
      <x:c r="D386" s="10" t="s">
        <x:v>74</x:v>
      </x:c>
      <x:c r="E386" s="10" t="s">
        <x:v>75</x:v>
      </x:c>
      <x:c r="F386" s="11" t="n">
        <x:v>1578</x:v>
      </x:c>
      <x:c r="G386" s="11" t="n">
        <x:v>2358</x:v>
      </x:c>
      <x:c r="H386" s="10" t="s">
        <x:v>83</x:v>
      </x:c>
      <x:c r="I386" t="n">
        <x:v>4.1</x:v>
      </x:c>
      <x:c r="J386" t="n">
        <x:v>14213</x:v>
      </x:c>
    </x:row>
    <x:row r="387" ht="15" hidden="0">
      <x:c r="A387" s="9" t="n">
        <x:v>45943</x:v>
      </x:c>
      <x:c r="B387" s="10" t="s">
        <x:v>92</x:v>
      </x:c>
      <x:c r="C387" s="10" t="s">
        <x:v>96</x:v>
      </x:c>
      <x:c r="D387" s="10" t="s">
        <x:v>77</x:v>
      </x:c>
      <x:c r="E387" s="10" t="s">
        <x:v>82</x:v>
      </x:c>
      <x:c r="F387" s="11" t="n">
        <x:v>1787</x:v>
      </x:c>
      <x:c r="G387" s="11" t="n">
        <x:v>2394</x:v>
      </x:c>
      <x:c r="H387" s="10" t="s">
        <x:v>83</x:v>
      </x:c>
      <x:c r="I387" t="n">
        <x:v>4.7</x:v>
      </x:c>
      <x:c r="J387" t="n">
        <x:v>7008</x:v>
      </x:c>
    </x:row>
    <x:row r="388" ht="15" hidden="0">
      <x:c r="A388" s="9" t="n">
        <x:v>45943</x:v>
      </x:c>
      <x:c r="B388" s="10" t="s">
        <x:v>92</x:v>
      </x:c>
      <x:c r="C388" s="10" t="s">
        <x:v>96</x:v>
      </x:c>
      <x:c r="D388" s="10" t="s">
        <x:v>80</x:v>
      </x:c>
      <x:c r="E388" s="10" t="s">
        <x:v>78</x:v>
      </x:c>
      <x:c r="F388" s="11" t="n">
        <x:v>1621</x:v>
      </x:c>
      <x:c r="G388" s="11" t="n">
        <x:v>1773</x:v>
      </x:c>
      <x:c r="H388" s="10" t="s">
        <x:v>83</x:v>
      </x:c>
      <x:c r="I388" t="n">
        <x:v>4</x:v>
      </x:c>
      <x:c r="J388" t="n">
        <x:v>18106</x:v>
      </x:c>
    </x:row>
    <x:row r="389" ht="15" hidden="0">
      <x:c r="A389" s="9" t="n">
        <x:v>45943</x:v>
      </x:c>
      <x:c r="B389" s="10" t="s">
        <x:v>92</x:v>
      </x:c>
      <x:c r="C389" s="10" t="s">
        <x:v>96</x:v>
      </x:c>
      <x:c r="D389" s="10" t="s">
        <x:v>81</x:v>
      </x:c>
      <x:c r="E389" s="10" t="s">
        <x:v>75</x:v>
      </x:c>
      <x:c r="F389" s="11" t="n">
        <x:v>1522</x:v>
      </x:c>
      <x:c r="G389" s="11" t="n">
        <x:v>1671</x:v>
      </x:c>
      <x:c r="H389" s="10" t="s">
        <x:v>83</x:v>
      </x:c>
      <x:c r="I389" t="n">
        <x:v>3.7</x:v>
      </x:c>
      <x:c r="J389" t="n">
        <x:v>4291</x:v>
      </x:c>
    </x:row>
    <x:row r="390" ht="15" hidden="0">
      <x:c r="A390" s="9" t="n">
        <x:v>46041</x:v>
      </x:c>
      <x:c r="B390" s="10" t="s">
        <x:v>72</x:v>
      </x:c>
      <x:c r="C390" s="10" t="s">
        <x:v>100</x:v>
      </x:c>
      <x:c r="D390" s="10" t="s">
        <x:v>74</x:v>
      </x:c>
      <x:c r="E390" s="10" t="s">
        <x:v>82</x:v>
      </x:c>
      <x:c r="F390" s="11" t="n">
        <x:v>2745</x:v>
      </x:c>
      <x:c r="G390" s="11" t="n">
        <x:v>3172</x:v>
      </x:c>
      <x:c r="H390" s="10" t="s">
        <x:v>79</x:v>
      </x:c>
      <x:c r="I390" t="n">
        <x:v>4.1</x:v>
      </x:c>
      <x:c r="J390" t="n">
        <x:v>181</x:v>
      </x:c>
    </x:row>
    <x:row r="391" ht="15" hidden="0">
      <x:c r="A391" s="9" t="n">
        <x:v>46041</x:v>
      </x:c>
      <x:c r="B391" s="10" t="s">
        <x:v>72</x:v>
      </x:c>
      <x:c r="C391" s="10" t="s">
        <x:v>100</x:v>
      </x:c>
      <x:c r="D391" s="10" t="s">
        <x:v>77</x:v>
      </x:c>
      <x:c r="E391" s="10" t="s">
        <x:v>78</x:v>
      </x:c>
      <x:c r="F391" s="11" t="n">
        <x:v>2749</x:v>
      </x:c>
      <x:c r="G391" s="11" t="n">
        <x:v>3489</x:v>
      </x:c>
      <x:c r="H391" s="10" t="s">
        <x:v>76</x:v>
      </x:c>
      <x:c r="I391" t="n">
        <x:v>4</x:v>
      </x:c>
      <x:c r="J391" t="n">
        <x:v>12851</x:v>
      </x:c>
    </x:row>
    <x:row r="392" ht="15" hidden="0">
      <x:c r="A392" s="9" t="n">
        <x:v>46041</x:v>
      </x:c>
      <x:c r="B392" s="10" t="s">
        <x:v>72</x:v>
      </x:c>
      <x:c r="C392" s="10" t="s">
        <x:v>100</x:v>
      </x:c>
      <x:c r="D392" s="10" t="s">
        <x:v>80</x:v>
      </x:c>
      <x:c r="E392" s="10" t="s">
        <x:v>78</x:v>
      </x:c>
      <x:c r="F392" s="11" t="n">
        <x:v>2410</x:v>
      </x:c>
      <x:c r="G392" s="11" t="n">
        <x:v>3165</x:v>
      </x:c>
      <x:c r="H392" s="10" t="s">
        <x:v>76</x:v>
      </x:c>
      <x:c r="I392" t="n">
        <x:v>3.8</x:v>
      </x:c>
      <x:c r="J392" t="n">
        <x:v>17566</x:v>
      </x:c>
    </x:row>
    <x:row r="393" ht="15" hidden="0">
      <x:c r="A393" s="9" t="n">
        <x:v>46041</x:v>
      </x:c>
      <x:c r="B393" s="10" t="s">
        <x:v>72</x:v>
      </x:c>
      <x:c r="C393" s="10" t="s">
        <x:v>100</x:v>
      </x:c>
      <x:c r="D393" s="10" t="s">
        <x:v>81</x:v>
      </x:c>
      <x:c r="E393" s="10" t="s">
        <x:v>75</x:v>
      </x:c>
      <x:c r="F393" s="11" t="n">
        <x:v>2744</x:v>
      </x:c>
      <x:c r="G393" s="11" t="n">
        <x:v>3879</x:v>
      </x:c>
      <x:c r="H393" s="10" t="s">
        <x:v>83</x:v>
      </x:c>
      <x:c r="I393" t="n">
        <x:v>4.6</x:v>
      </x:c>
      <x:c r="J393" t="n">
        <x:v>4777</x:v>
      </x:c>
    </x:row>
    <x:row r="394" ht="15" hidden="0">
      <x:c r="A394" s="9" t="n">
        <x:v>45978</x:v>
      </x:c>
      <x:c r="B394" s="10" t="s">
        <x:v>85</x:v>
      </x:c>
      <x:c r="C394" s="10" t="s">
        <x:v>104</x:v>
      </x:c>
      <x:c r="D394" s="10" t="s">
        <x:v>74</x:v>
      </x:c>
      <x:c r="E394" s="10" t="s">
        <x:v>78</x:v>
      </x:c>
      <x:c r="F394" s="11" t="n">
        <x:v>716</x:v>
      </x:c>
      <x:c r="G394" s="11" t="n">
        <x:v>1040</x:v>
      </x:c>
      <x:c r="H394" s="10" t="s">
        <x:v>83</x:v>
      </x:c>
      <x:c r="I394" t="n">
        <x:v>3.6</x:v>
      </x:c>
      <x:c r="J394" t="n">
        <x:v>12505</x:v>
      </x:c>
    </x:row>
    <x:row r="395" ht="15" hidden="0">
      <x:c r="A395" s="9" t="n">
        <x:v>45978</x:v>
      </x:c>
      <x:c r="B395" s="10" t="s">
        <x:v>85</x:v>
      </x:c>
      <x:c r="C395" s="10" t="s">
        <x:v>104</x:v>
      </x:c>
      <x:c r="D395" s="10" t="s">
        <x:v>77</x:v>
      </x:c>
      <x:c r="E395" s="10" t="s">
        <x:v>82</x:v>
      </x:c>
      <x:c r="F395" s="11" t="n">
        <x:v>738</x:v>
      </x:c>
      <x:c r="G395" s="11" t="n">
        <x:v>1019</x:v>
      </x:c>
      <x:c r="H395" s="10" t="s">
        <x:v>83</x:v>
      </x:c>
      <x:c r="I395" t="n">
        <x:v>3.7</x:v>
      </x:c>
      <x:c r="J395" t="n">
        <x:v>12690</x:v>
      </x:c>
    </x:row>
    <x:row r="396" ht="15" hidden="0">
      <x:c r="A396" s="9" t="n">
        <x:v>45978</x:v>
      </x:c>
      <x:c r="B396" s="10" t="s">
        <x:v>85</x:v>
      </x:c>
      <x:c r="C396" s="10" t="s">
        <x:v>104</x:v>
      </x:c>
      <x:c r="D396" s="10" t="s">
        <x:v>80</x:v>
      </x:c>
      <x:c r="E396" s="10" t="s">
        <x:v>75</x:v>
      </x:c>
      <x:c r="F396" s="11" t="n">
        <x:v>698</x:v>
      </x:c>
      <x:c r="G396" s="11" t="n">
        <x:v>754</x:v>
      </x:c>
      <x:c r="H396" s="10" t="s">
        <x:v>79</x:v>
      </x:c>
      <x:c r="I396" t="n">
        <x:v>3.5</x:v>
      </x:c>
      <x:c r="J396" t="n">
        <x:v>6250</x:v>
      </x:c>
    </x:row>
    <x:row r="397" ht="15" hidden="0">
      <x:c r="A397" s="9" t="n">
        <x:v>45978</x:v>
      </x:c>
      <x:c r="B397" s="10" t="s">
        <x:v>85</x:v>
      </x:c>
      <x:c r="C397" s="10" t="s">
        <x:v>104</x:v>
      </x:c>
      <x:c r="D397" s="10" t="s">
        <x:v>81</x:v>
      </x:c>
      <x:c r="E397" s="10" t="s">
        <x:v>75</x:v>
      </x:c>
      <x:c r="F397" s="11" t="n">
        <x:v>717</x:v>
      </x:c>
      <x:c r="G397" s="11" t="n">
        <x:v>793</x:v>
      </x:c>
      <x:c r="H397" s="10" t="s">
        <x:v>79</x:v>
      </x:c>
      <x:c r="I397" t="n">
        <x:v>4.2</x:v>
      </x:c>
      <x:c r="J397" t="n">
        <x:v>10748</x:v>
      </x:c>
    </x:row>
    <x:row r="398" ht="15" hidden="0">
      <x:c r="A398" s="9" t="n">
        <x:v>46041</x:v>
      </x:c>
      <x:c r="B398" s="10" t="s">
        <x:v>97</x:v>
      </x:c>
      <x:c r="C398" s="10" t="s">
        <x:v>108</x:v>
      </x:c>
      <x:c r="D398" s="10" t="s">
        <x:v>74</x:v>
      </x:c>
      <x:c r="E398" s="10" t="s">
        <x:v>82</x:v>
      </x:c>
      <x:c r="F398" s="11" t="n">
        <x:v>3768</x:v>
      </x:c>
      <x:c r="G398" s="11" t="n">
        <x:v>5325</x:v>
      </x:c>
      <x:c r="H398" s="10" t="s">
        <x:v>79</x:v>
      </x:c>
      <x:c r="I398" t="n">
        <x:v>4.1</x:v>
      </x:c>
      <x:c r="J398" t="n">
        <x:v>11639</x:v>
      </x:c>
    </x:row>
    <x:row r="399" ht="15" hidden="0">
      <x:c r="A399" s="9" t="n">
        <x:v>46041</x:v>
      </x:c>
      <x:c r="B399" s="10" t="s">
        <x:v>97</x:v>
      </x:c>
      <x:c r="C399" s="10" t="s">
        <x:v>108</x:v>
      </x:c>
      <x:c r="D399" s="10" t="s">
        <x:v>77</x:v>
      </x:c>
      <x:c r="E399" s="10" t="s">
        <x:v>78</x:v>
      </x:c>
      <x:c r="F399" s="11" t="n">
        <x:v>3491</x:v>
      </x:c>
      <x:c r="G399" s="11" t="n">
        <x:v>4996</x:v>
      </x:c>
      <x:c r="H399" s="10" t="s">
        <x:v>83</x:v>
      </x:c>
      <x:c r="I399" t="n">
        <x:v>3.4</x:v>
      </x:c>
      <x:c r="J399" t="n">
        <x:v>7708</x:v>
      </x:c>
    </x:row>
    <x:row r="400" ht="15" hidden="0">
      <x:c r="A400" s="9" t="n">
        <x:v>46041</x:v>
      </x:c>
      <x:c r="B400" s="10" t="s">
        <x:v>97</x:v>
      </x:c>
      <x:c r="C400" s="10" t="s">
        <x:v>108</x:v>
      </x:c>
      <x:c r="D400" s="10" t="s">
        <x:v>80</x:v>
      </x:c>
      <x:c r="E400" s="10" t="s">
        <x:v>82</x:v>
      </x:c>
      <x:c r="F400" s="11" t="n">
        <x:v>3599</x:v>
      </x:c>
      <x:c r="G400" s="11" t="n">
        <x:v>5003</x:v>
      </x:c>
      <x:c r="H400" s="10" t="s">
        <x:v>83</x:v>
      </x:c>
      <x:c r="I400" t="n">
        <x:v>4.3</x:v>
      </x:c>
      <x:c r="J400" t="n">
        <x:v>6497</x:v>
      </x:c>
    </x:row>
    <x:row r="401" ht="15" hidden="0">
      <x:c r="A401" s="9" t="n">
        <x:v>46041</x:v>
      </x:c>
      <x:c r="B401" s="10" t="s">
        <x:v>97</x:v>
      </x:c>
      <x:c r="C401" s="10" t="s">
        <x:v>108</x:v>
      </x:c>
      <x:c r="D401" s="10" t="s">
        <x:v>81</x:v>
      </x:c>
      <x:c r="E401" s="10" t="s">
        <x:v>82</x:v>
      </x:c>
      <x:c r="F401" s="11" t="n">
        <x:v>3994</x:v>
      </x:c>
      <x:c r="G401" s="11" t="n">
        <x:v>5138</x:v>
      </x:c>
      <x:c r="H401" s="10" t="s">
        <x:v>83</x:v>
      </x:c>
      <x:c r="I401" t="n">
        <x:v>4.1</x:v>
      </x:c>
      <x:c r="J401" t="n">
        <x:v>13155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34" hidden="0" customWidth="1"/>
    <x:col min="3" max="3" width="16" hidden="0" customWidth="1"/>
    <x:col min="4" max="4" width="60" hidden="0" customWidth="1"/>
    <x:col min="5" max="6" width="16" hidden="0" customWidth="1"/>
  </x:cols>
  <x:sheetData>
    <x:row r="1" ht="23.850000381469727" hidden="0">
      <x:c r="A1" s="6" t="s">
        <x:v>112</x:v>
      </x:c>
      <x:c r="B1" s="6" t="s">
        <x:v>113</x:v>
      </x:c>
      <x:c r="C1" s="6" t="s">
        <x:v>114</x:v>
      </x:c>
      <x:c r="D1" s="6" t="s">
        <x:v>115</x:v>
      </x:c>
      <x:c r="E1" s="6" t="s">
        <x:v>116</x:v>
      </x:c>
      <x:c r="F1" s="6" t="s">
        <x:v>117</x:v>
      </x:c>
    </x:row>
    <x:row r="2" ht="15" hidden="0">
      <x:c r="A2" t="s">
        <x:v>118</x:v>
      </x:c>
      <x:c r="B2" t="s">
        <x:v>62</x:v>
      </x:c>
      <x:c r="C2" t="s">
        <x:v>119</x:v>
      </x:c>
      <x:c r="D2" t="s">
        <x:v>120</x:v>
      </x:c>
      <x:c r="E2" t="n">
        <x:v>400</x:v>
      </x:c>
      <x:c r="F2" t="n">
        <x:v>19</x:v>
      </x:c>
    </x:row>
    <x:row r="3" ht="15" hidden="0">
      <x:c r="A3" t="s">
        <x:v>118</x:v>
      </x:c>
      <x:c r="B3" t="s">
        <x:v>63</x:v>
      </x:c>
      <x:c r="C3" t="s">
        <x:v>121</x:v>
      </x:c>
      <x:c r="D3" t="s">
        <x:v>72</x:v>
      </x:c>
      <x:c r="E3" t="n">
        <x:v>400</x:v>
      </x:c>
      <x:c r="F3" t="n">
        <x:v>5</x:v>
      </x:c>
    </x:row>
    <x:row r="4" ht="15" hidden="0">
      <x:c r="A4" t="s">
        <x:v>118</x:v>
      </x:c>
      <x:c r="B4" t="s">
        <x:v>64</x:v>
      </x:c>
      <x:c r="C4" t="s">
        <x:v>121</x:v>
      </x:c>
      <x:c r="D4" t="s">
        <x:v>73</x:v>
      </x:c>
      <x:c r="E4" t="n">
        <x:v>400</x:v>
      </x:c>
      <x:c r="F4" t="n">
        <x:v>25</x:v>
      </x:c>
    </x:row>
    <x:row r="5" ht="15" hidden="0">
      <x:c r="A5" t="s">
        <x:v>118</x:v>
      </x:c>
      <x:c r="B5" t="s">
        <x:v>65</x:v>
      </x:c>
      <x:c r="C5" t="s">
        <x:v>121</x:v>
      </x:c>
      <x:c r="D5" t="s">
        <x:v>74</x:v>
      </x:c>
      <x:c r="E5" t="n">
        <x:v>400</x:v>
      </x:c>
      <x:c r="F5" t="n">
        <x:v>4</x:v>
      </x:c>
    </x:row>
    <x:row r="6" ht="15" hidden="0">
      <x:c r="A6" t="s">
        <x:v>118</x:v>
      </x:c>
      <x:c r="B6" t="s">
        <x:v>66</x:v>
      </x:c>
      <x:c r="C6" t="s">
        <x:v>121</x:v>
      </x:c>
      <x:c r="D6" t="s">
        <x:v>75</x:v>
      </x:c>
      <x:c r="E6" t="n">
        <x:v>400</x:v>
      </x:c>
      <x:c r="F6" t="n">
        <x:v>3</x:v>
      </x:c>
    </x:row>
    <x:row r="7" ht="15" hidden="0">
      <x:c r="A7" t="s">
        <x:v>118</x:v>
      </x:c>
      <x:c r="B7" t="s">
        <x:v>67</x:v>
      </x:c>
      <x:c r="C7" t="s">
        <x:v>122</x:v>
      </x:c>
      <x:c r="D7" t="s">
        <x:v>123</x:v>
      </x:c>
      <x:c r="E7" t="n">
        <x:v>400</x:v>
      </x:c>
      <x:c r="F7" t="n">
        <x:v>361</x:v>
      </x:c>
    </x:row>
    <x:row r="8" ht="15" hidden="0">
      <x:c r="A8" t="s">
        <x:v>118</x:v>
      </x:c>
      <x:c r="B8" t="s">
        <x:v>68</x:v>
      </x:c>
      <x:c r="C8" t="s">
        <x:v>122</x:v>
      </x:c>
      <x:c r="D8" t="s">
        <x:v>124</x:v>
      </x:c>
      <x:c r="E8" t="n">
        <x:v>400</x:v>
      </x:c>
      <x:c r="F8" t="n">
        <x:v>379</x:v>
      </x:c>
    </x:row>
    <x:row r="9" ht="15" hidden="0">
      <x:c r="A9" t="s">
        <x:v>118</x:v>
      </x:c>
      <x:c r="B9" t="s">
        <x:v>69</x:v>
      </x:c>
      <x:c r="C9" t="s">
        <x:v>121</x:v>
      </x:c>
      <x:c r="D9" t="s">
        <x:v>76</x:v>
      </x:c>
      <x:c r="E9" t="n">
        <x:v>400</x:v>
      </x:c>
      <x:c r="F9" t="n">
        <x:v>3</x:v>
      </x:c>
    </x:row>
    <x:row r="10" ht="15" hidden="0">
      <x:c r="A10" t="s">
        <x:v>118</x:v>
      </x:c>
      <x:c r="B10" t="s">
        <x:v>70</x:v>
      </x:c>
      <x:c r="C10" t="s">
        <x:v>125</x:v>
      </x:c>
      <x:c r="D10" t="s">
        <x:v>126</x:v>
      </x:c>
      <x:c r="E10" t="n">
        <x:v>400</x:v>
      </x:c>
      <x:c r="F10" t="n">
        <x:v>14</x:v>
      </x:c>
    </x:row>
    <x:row r="11" ht="15" hidden="0">
      <x:c r="A11" t="s">
        <x:v>118</x:v>
      </x:c>
      <x:c r="B11" t="s">
        <x:v>71</x:v>
      </x:c>
      <x:c r="C11" t="s">
        <x:v>122</x:v>
      </x:c>
      <x:c r="D11" t="s">
        <x:v>127</x:v>
      </x:c>
      <x:c r="E11" t="n">
        <x:v>400</x:v>
      </x:c>
      <x:c r="F11" t="n">
        <x:v>391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6.12999725341797" hidden="0" customWidth="1"/>
    <x:col min="2" max="2" width="9.130000114440918" hidden="0" customWidth="1"/>
    <x:col min="3" max="3" width="7.5" hidden="0" customWidth="1"/>
    <x:col min="4" max="4" width="11.25" hidden="0" customWidth="1"/>
    <x:col min="6" max="6" width="38" hidden="0" customWidth="1"/>
    <x:col min="7" max="7" width="38" hidden="0" customWidth="1"/>
    <x:col min="9" max="9" width="13" hidden="0" customWidth="1"/>
    <x:col min="10" max="10" width="30" hidden="0" customWidth="1"/>
    <x:col min="5" max="5" width="23.5" hidden="0" customWidth="1"/>
    <x:col min="8" max="8" width="38" hidden="0" customWidth="1"/>
  </x:cols>
  <x:sheetData>
    <x:row r="1" ht="15" hidden="0" customHeight="1">
      <x:c r="A1" s="8" t="s">
        <x:v>128</x:v>
      </x:c>
    </x:row>
    <x:row r="2" ht="15" hidden="0" customHeight="1">
      <x:c r="A2" s="12" t="s">
        <x:v>129</x:v>
      </x:c>
    </x:row>
    <x:row r="3" ht="15" hidden="0" customHeight="1">
      <x:c r="A3" s="86" t="s">
        <x:v>130</x:v>
      </x:c>
      <x:c r="B3" s="86" t="s">
        <x:v>131</x:v>
      </x:c>
      <x:c r="C3" s="86" t="s">
        <x:v>132</x:v>
      </x:c>
      <x:c r="D3" s="86" t="s">
        <x:v>133</x:v>
      </x:c>
      <x:c r="E3" s="86" t="s">
        <x:v>134</x:v>
      </x:c>
      <x:c r="F3" s="86" t="s">
        <x:v>135</x:v>
      </x:c>
      <x:c r="G3" s="86" t="s">
        <x:v>136</x:v>
      </x:c>
      <x:c r="H3" s="86" t="s">
        <x:v>137</x:v>
      </x:c>
      <x:c r="I3" s="86" t="s">
        <x:v>138</x:v>
      </x:c>
      <x:c r="J3" s="86" t="s">
        <x:v>139</x:v>
      </x:c>
    </x:row>
    <x:row r="4" ht="15" hidden="0" customHeight="1">
      <x:c r="A4" s="89" t="n">
        <x:v>1</x:v>
      </x:c>
      <x:c r="B4" s="78" t="n">
        <x:v>46296</x:v>
      </x:c>
      <x:c r="C4" s="82" t="str">
        <x:v>ChatGPT</x:v>
      </x:c>
      <x:c r="D4" s="82" t="str">
        <x:v>GPT-5.6 Sol</x:v>
      </x:c>
      <x:c r="E4" s="82" t="str">
        <x:v>File/image context</x:v>
      </x:c>
      <x:c r="F4" s="82" t="str">
        <x:v>How to download this full workbook all things all tabs</x:v>
      </x:c>
      <x:c r="G4" s="82" t="str">
        <x:v>Correctly explained that .xlsx preserves all tabs and CSV does not.</x:v>
      </x:c>
      <x:c r="H4" s="82" t="str">
        <x:v>Downloaded the full workbook so the original Task Brief, Price Tracker and AI Use Log stayed together.</x:v>
      </x:c>
      <x:c r="I4" s="82" t="str">
        <x:v>Kept</x:v>
      </x:c>
      <x:c r="J4" s="82" t="str">
        <x:v>AI_Evidence_Transcript.pdf - Entry 01</x:v>
      </x:c>
    </x:row>
    <x:row r="5" ht="15" hidden="0" customHeight="1">
      <x:c r="A5" s="90" t="n">
        <x:v>2</x:v>
      </x:c>
      <x:c r="B5" s="79" t="n">
        <x:v>46296</x:v>
      </x:c>
      <x:c r="C5" s="84" t="str">
        <x:v>ChatGPT</x:v>
      </x:c>
      <x:c r="D5" s="84" t="str">
        <x:v>GPT-5.6 Sol</x:v>
      </x:c>
      <x:c r="E5" s="84" t="str">
        <x:v>Workbook attached</x:v>
      </x:c>
      <x:c r="F5" s="84" t="str">
        <x:v>See my tasks and help me with it</x:v>
      </x:c>
      <x:c r="G5" s="84" t="str">
        <x:v>Identified T44, the price-intelligence objective, deliverables and evaluation logic.</x:v>
      </x:c>
      <x:c r="H5" s="84" t="str">
        <x:v>Uploaded the assigned T44 workbook so the analysis could use the actual 400-row dataset.</x:v>
      </x:c>
      <x:c r="I5" s="84" t="str">
        <x:v>Kept</x:v>
      </x:c>
      <x:c r="J5" s="84" t="str">
        <x:v>AI_Evidence_Transcript.pdf - Entry 02</x:v>
      </x:c>
    </x:row>
    <x:row r="6" ht="15" hidden="0" customHeight="1">
      <x:c r="A6" s="90" t="n">
        <x:v>3</x:v>
      </x:c>
      <x:c r="B6" s="79" t="n">
        <x:v>46296</x:v>
      </x:c>
      <x:c r="C6" s="84" t="str">
        <x:v>ChatGPT</x:v>
      </x:c>
      <x:c r="D6" s="84" t="str">
        <x:v>GPT-5.6 Sol</x:v>
      </x:c>
      <x:c r="E6" s="84" t="str">
        <x:v>Workbook attached</x:v>
      </x:c>
      <x:c r="F6" s="84" t="str">
        <x:v>See</x:v>
      </x:c>
      <x:c r="G6" s="84" t="str">
        <x:v>Analysed the actual data and produced an initial workbook-oriented solution.</x:v>
      </x:c>
      <x:c r="H6" s="84" t="str">
        <x:v>Realised a static workbook might be weaker for the 8-mark working-build criterion, so I challenged the approach.</x:v>
      </x:c>
      <x:c r="I6" s="84" t="str">
        <x:v>Partly kept</x:v>
      </x:c>
      <x:c r="J6" s="84" t="str">
        <x:v>AI_Evidence_Transcript.pdf - Entry 03</x:v>
      </x:c>
    </x:row>
    <x:row r="7" ht="15" hidden="0" customHeight="1">
      <x:c r="A7" s="90" t="n">
        <x:v>4</x:v>
      </x:c>
      <x:c r="B7" s="79" t="n">
        <x:v>46296</x:v>
      </x:c>
      <x:c r="C7" s="84" t="str">
        <x:v>ChatGPT</x:v>
      </x:c>
      <x:c r="D7" s="84" t="str">
        <x:v>GPT-5.6 Sol</x:v>
      </x:c>
      <x:c r="E7" s="84" t="str">
        <x:v>Rubric review</x:v>
      </x:c>
      <x:c r="F7" s="84" t="str">
        <x:v>Bro we have to code also wtf ??</x:v>
      </x:c>
      <x:c r="G7" s="84" t="str">
        <x:v>Clarified that coding was not explicitly mandatory, but a working Streamlit build would make the rubric evidence stronger.</x:v>
      </x:c>
      <x:c r="H7" s="84" t="str">
        <x:v>Asked for a coded app rather than relying only on a static workbook.</x:v>
      </x:c>
      <x:c r="I7" s="84" t="str">
        <x:v>Kept</x:v>
      </x:c>
      <x:c r="J7" s="84" t="str">
        <x:v>AI_Evidence_Transcript.pdf - Entry 04</x:v>
      </x:c>
    </x:row>
    <x:row r="8" ht="15" hidden="0" customHeight="1">
      <x:c r="A8" s="90" t="n">
        <x:v>5</x:v>
      </x:c>
      <x:c r="B8" s="79" t="n">
        <x:v>46296</x:v>
      </x:c>
      <x:c r="C8" s="84" t="str">
        <x:v>ChatGPT</x:v>
      </x:c>
      <x:c r="D8" s="84" t="str">
        <x:v>GPT-5.6 Sol</x:v>
      </x:c>
      <x:c r="E8" s="84" t="str">
        <x:v>Code generation + file analysis</x:v>
      </x:c>
      <x:c r="F8" s="84" t="str">
        <x:v>Yes do it now</x:v>
      </x:c>
      <x:c r="G8" s="84" t="str">
        <x:v>Generated the first Streamlit implementation around the real T44 dataset and deterministic price-gap logic.</x:v>
      </x:c>
      <x:c r="H8" s="84" t="str">
        <x:v>Ran it locally and moved into testing/debugging instead of accepting the first build.</x:v>
      </x:c>
      <x:c r="I8" s="84" t="str">
        <x:v>Kept</x:v>
      </x:c>
      <x:c r="J8" s="84" t="str">
        <x:v>AI_Evidence_Transcript.pdf - Entry 05</x:v>
      </x:c>
    </x:row>
    <x:row r="9" ht="15" hidden="0" customHeight="1">
      <x:c r="A9" s="90" t="n">
        <x:v>6</x:v>
      </x:c>
      <x:c r="B9" s="79" t="n">
        <x:v>46296</x:v>
      </x:c>
      <x:c r="C9" s="84" t="str">
        <x:v>ChatGPT</x:v>
      </x:c>
      <x:c r="D9" s="84" t="str">
        <x:v>GPT-5.6 Sol</x:v>
      </x:c>
      <x:c r="E9" s="84" t="str">
        <x:v>VS Code setup guidance</x:v>
      </x:c>
      <x:c r="F9" s="84" t="str">
        <x:v>What to do now that i opeened it in vs code</x:v>
      </x:c>
      <x:c r="G9" s="84" t="str">
        <x:v>Gave exact terminal commands and explained that app.py must be launched through Streamlit rather than directly.</x:v>
      </x:c>
      <x:c r="H9" s="84" t="str">
        <x:v>Installed the required packages and launched the app locally.</x:v>
      </x:c>
      <x:c r="I9" s="84" t="str">
        <x:v>Kept</x:v>
      </x:c>
      <x:c r="J9" s="84" t="str">
        <x:v>AI_Evidence_Transcript.pdf - Entry 06</x:v>
      </x:c>
    </x:row>
    <x:row r="10" ht="15" hidden="0" customHeight="1">
      <x:c r="A10" s="90" t="n">
        <x:v>7</x:v>
      </x:c>
      <x:c r="B10" s="79" t="n">
        <x:v>46296</x:v>
      </x:c>
      <x:c r="C10" s="84" t="str">
        <x:v>ChatGPT</x:v>
      </x:c>
      <x:c r="D10" s="84" t="str">
        <x:v>GPT-5.6 Sol</x:v>
      </x:c>
      <x:c r="E10" s="84" t="str">
        <x:v>Error screenshot</x:v>
      </x:c>
      <x:c r="F10" s="84" t="str">
        <x:v>It worked but this came at end</x:v>
      </x:c>
      <x:c r="G10" s="84" t="str">
        <x:v>Diagnosed the missing xlsxwriter dependency from the actual error instead of guessing.</x:v>
      </x:c>
      <x:c r="H10" s="84" t="str">
        <x:v>Installed xlsxwriter and updated the dependency list so exports would work reliably.</x:v>
      </x:c>
      <x:c r="I10" s="84" t="str">
        <x:v>Kept</x:v>
      </x:c>
      <x:c r="J10" s="84" t="str">
        <x:v>AI_Evidence_Transcript.pdf - Entry 07</x:v>
      </x:c>
    </x:row>
    <x:row r="11" ht="15" hidden="0" customHeight="1">
      <x:c r="A11" s="90" t="n">
        <x:v>8</x:v>
      </x:c>
      <x:c r="B11" s="79" t="n">
        <x:v>46296</x:v>
      </x:c>
      <x:c r="C11" s="84" t="str">
        <x:v>ChatGPT</x:v>
      </x:c>
      <x:c r="D11" s="84" t="str">
        <x:v>GPT-5.6 Sol</x:v>
      </x:c>
      <x:c r="E11" s="84" t="str">
        <x:v>Video review</x:v>
      </x:c>
      <x:c r="F11" s="84" t="str">
        <x:v>See this video what improvement we can do here</x:v>
      </x:c>
      <x:c r="G11" s="84" t="str">
        <x:v>Critiqued the V1 app for business readability: too much table-first output, weak action emphasis and insufficient visual signalling.</x:v>
      </x:c>
      <x:c r="H11" s="84" t="str">
        <x:v>Requested a second iteration with executive KPIs, action centre, threshold guides, AI workflow and stronger verification.</x:v>
      </x:c>
      <x:c r="I11" s="84" t="str">
        <x:v>Kept</x:v>
      </x:c>
      <x:c r="J11" s="84" t="str">
        <x:v>AI_Evidence_Transcript.pdf - Entry 08</x:v>
      </x:c>
    </x:row>
    <x:row r="12" ht="15" hidden="0" customHeight="1">
      <x:c r="A12" s="90" t="n">
        <x:v>9</x:v>
      </x:c>
      <x:c r="B12" s="79" t="n">
        <x:v>46296</x:v>
      </x:c>
      <x:c r="C12" s="84" t="str">
        <x:v>ChatGPT</x:v>
      </x:c>
      <x:c r="D12" s="84" t="str">
        <x:v>GPT-5.6 Sol</x:v>
      </x:c>
      <x:c r="E12" s="84" t="str">
        <x:v>Code generation</x:v>
      </x:c>
      <x:c r="F12" s="84" t="str">
        <x:v>so give me updated best code include everything</x:v>
      </x:c>
      <x:c r="G12" s="84" t="str">
        <x:v>Produced V2 with executive dashboard, latest-week KPIs, risk/opportunity views, verification and improved export.</x:v>
      </x:c>
      <x:c r="H12" s="84" t="str">
        <x:v>Tested V2 locally instead of treating generation as completion.</x:v>
      </x:c>
      <x:c r="I12" s="84" t="str">
        <x:v>Kept</x:v>
      </x:c>
      <x:c r="J12" s="84" t="str">
        <x:v>AI_Evidence_Transcript.pdf - Entry 09</x:v>
      </x:c>
    </x:row>
    <x:row r="13" ht="15" hidden="0" customHeight="1">
      <x:c r="A13" s="90" t="n">
        <x:v>10</x:v>
      </x:c>
      <x:c r="B13" s="79" t="n">
        <x:v>46296</x:v>
      </x:c>
      <x:c r="C13" s="84" t="str">
        <x:v>ChatGPT</x:v>
      </x:c>
      <x:c r="D13" s="84" t="str">
        <x:v>GPT-5.6 Sol</x:v>
      </x:c>
      <x:c r="E13" s="84" t="str">
        <x:v>Windows path context</x:v>
      </x:c>
      <x:c r="F13" s="84" t="str">
        <x:v>Updated Command</x:v>
      </x:c>
      <x:c r="G13" s="84" t="str">
        <x:v>Adjusted the commands to the actual D:\AI Project 2\T44_Streamlit_Project_V2 location.</x:v>
      </x:c>
      <x:c r="H13" s="84" t="str">
        <x:v>Used the corrected command and confirmed the app launched at localhost:8501.</x:v>
      </x:c>
      <x:c r="I13" s="84" t="str">
        <x:v>Kept</x:v>
      </x:c>
      <x:c r="J13" s="84" t="str">
        <x:v>AI_Evidence_Transcript.pdf - Entry 10</x:v>
      </x:c>
    </x:row>
    <x:row r="14" ht="15" hidden="0" customHeight="1">
      <x:c r="A14" s="90" t="n">
        <x:v>11</x:v>
      </x:c>
      <x:c r="B14" s="79" t="n">
        <x:v>46299</x:v>
      </x:c>
      <x:c r="C14" s="84" t="str">
        <x:v>ChatGPT</x:v>
      </x:c>
      <x:c r="D14" s="84" t="str">
        <x:v>GPT-5.6 Sol</x:v>
      </x:c>
      <x:c r="E14" s="84" t="str">
        <x:v>Pre-submission QA</x:v>
      </x:c>
      <x:c r="F14" s="84" t="str">
        <x:v>So i need to upload it o github should i check it once</x:v>
      </x:c>
      <x:c r="G14" s="84" t="str">
        <x:v>Recommended a final QA sequence before publishing: app run, filters, export, refresh and unit test.</x:v>
      </x:c>
      <x:c r="H14" s="84" t="str">
        <x:v>Ran test_core.py and checked the UI before considering the repository ready.</x:v>
      </x:c>
      <x:c r="I14" s="84" t="str">
        <x:v>Kept</x:v>
      </x:c>
      <x:c r="J14" s="84" t="str">
        <x:v>AI_Evidence_Transcript.pdf - Entry 11</x:v>
      </x:c>
    </x:row>
    <x:row r="15" ht="15" hidden="0" customHeight="1">
      <x:c r="A15" s="90" t="n">
        <x:v>12</x:v>
      </x:c>
      <x:c r="B15" s="79" t="n">
        <x:v>46299</x:v>
      </x:c>
      <x:c r="C15" s="84" t="str">
        <x:v>ChatGPT</x:v>
      </x:c>
      <x:c r="D15" s="84" t="str">
        <x:v>GPT-5.6 Sol</x:v>
      </x:c>
      <x:c r="E15" s="84" t="str">
        <x:v>Rendered output PDF attached</x:v>
      </x:c>
      <x:c r="F15" s="84" t="str">
        <x:v>should i test this ouput came</x:v>
      </x:c>
      <x:c r="G15" s="84" t="str">
        <x:v>Reviewed the rendered dashboard and identified what was already correct plus a few interpretation/print-layout cautions.</x:v>
      </x:c>
      <x:c r="H15" s="84" t="str">
        <x:v>Ran the formal core test rather than relying only on visual inspection.</x:v>
      </x:c>
      <x:c r="I15" s="84" t="str">
        <x:v>Kept</x:v>
      </x:c>
      <x:c r="J15" s="84" t="str">
        <x:v>AI_Evidence_Transcript.pdf - Entry 12</x:v>
      </x:c>
    </x:row>
    <x:row r="16" ht="15" hidden="0" customHeight="1">
      <x:c r="A16" s="90" t="n">
        <x:v>13</x:v>
      </x:c>
      <x:c r="B16" s="79" t="n">
        <x:v>46299</x:v>
      </x:c>
      <x:c r="C16" s="84" t="str">
        <x:v>ChatGPT</x:v>
      </x:c>
      <x:c r="D16" s="84" t="str">
        <x:v>GPT-5.6 Sol</x:v>
      </x:c>
      <x:c r="E16" s="84" t="str">
        <x:v>Code review</x:v>
      </x:c>
      <x:c r="F16" s="84" t="str">
        <x:v>all good but it is using my excel sheet or not cause we have an upload option</x:v>
      </x:c>
      <x:c r="G16" s="84" t="str">
        <x:v>Verified the fallback logic: bundled T44 workbook is used when no upload is provided; upload acts only as an override.</x:v>
      </x:c>
      <x:c r="H16" s="84" t="str">
        <x:v>Kept the upload feature because it makes the tool reusable while preserving the assigned dataset as the default.</x:v>
      </x:c>
      <x:c r="I16" s="84" t="str">
        <x:v>Kept</x:v>
      </x:c>
      <x:c r="J16" s="84" t="str">
        <x:v>AI_Evidence_Transcript.pdf - Entry 13</x:v>
      </x:c>
    </x:row>
    <x:row r="17" ht="15" hidden="0" customHeight="1">
      <x:c r="A17" s="90" t="n">
        <x:v>14</x:v>
      </x:c>
      <x:c r="B17" s="79" t="n">
        <x:v>46299</x:v>
      </x:c>
      <x:c r="C17" s="84" t="str">
        <x:v>ChatGPT</x:v>
      </x:c>
      <x:c r="D17" s="84" t="str">
        <x:v>GPT-5.6 Sol</x:v>
      </x:c>
      <x:c r="E17" s="84" t="str">
        <x:v>ZIP review</x:v>
      </x:c>
      <x:c r="F17" s="84" t="str">
        <x:v>So i can upload this?</x:v>
      </x:c>
      <x:c r="G17" s="84" t="str">
        <x:v>Reviewed the project package and found cleanup issues such as __pycache__ and a machine-specific README path.</x:v>
      </x:c>
      <x:c r="H17" s="84" t="str">
        <x:v>Cleaned the GitHub-ready package and added .gitignore before publishing.</x:v>
      </x:c>
      <x:c r="I17" s="84" t="str">
        <x:v>Kept</x:v>
      </x:c>
      <x:c r="J17" s="84" t="str">
        <x:v>AI_Evidence_Transcript.pdf - Entry 14</x:v>
      </x:c>
    </x:row>
    <x:row r="18" ht="15" hidden="0" customHeight="1">
      <x:c r="A18" s="90" t="n">
        <x:v>15</x:v>
      </x:c>
      <x:c r="B18" s="79" t="n">
        <x:v>46299</x:v>
      </x:c>
      <x:c r="C18" s="84" t="str">
        <x:v>ChatGPT</x:v>
      </x:c>
      <x:c r="D18" s="84" t="str">
        <x:v>GPT-5.6 Sol</x:v>
      </x:c>
      <x:c r="E18" s="84" t="str">
        <x:v>Task Brief re-check</x:v>
      </x:c>
      <x:c r="F18" s="84" t="str">
        <x:v>but we need some more files written in instruction right like  reprt AI prompt used etc?</x:v>
      </x:c>
      <x:c r="G18" s="84" t="str">
        <x:v>Re-read the actual Task Brief and confirmed the four required submission items, including the minimum-15-entry AI Use Log and 3-5 page report.</x:v>
      </x:c>
      <x:c r="H18" s="84" t="str">
        <x:v>Expanded the submission from code-only to a complete package with final workbook, report, AI evidence and demo material.</x:v>
      </x:c>
      <x:c r="I18" s="84" t="str">
        <x:v>Kept</x:v>
      </x:c>
      <x:c r="J18" s="84" t="str">
        <x:v>AI_Evidence_Transcript.pdf - Entry 15</x:v>
      </x:c>
    </x:row>
    <x:row r="19" ht="15" hidden="0" customHeight="1">
      <x:c r="A19" s="7" t="n">
        <x:v>16</x:v>
      </x:c>
      <x:c r="B19" s="15"/>
      <x:c r="C19" s="16"/>
      <x:c r="D19" s="16"/>
      <x:c r="E19" s="16"/>
      <x:c r="F19" s="16"/>
      <x:c r="G19" s="16"/>
      <x:c r="H19" s="16"/>
      <x:c r="I19" s="16"/>
      <x:c r="J19" s="16"/>
    </x:row>
    <x:row r="20" ht="15" hidden="0" customHeight="1">
      <x:c r="A20" s="7" t="n">
        <x:v>17</x:v>
      </x:c>
      <x:c r="B20" s="15"/>
      <x:c r="C20" s="16"/>
      <x:c r="D20" s="16"/>
      <x:c r="E20" s="16"/>
      <x:c r="F20" s="16"/>
      <x:c r="G20" s="16"/>
      <x:c r="H20" s="16"/>
      <x:c r="I20" s="16"/>
      <x:c r="J20" s="16"/>
    </x:row>
    <x:row r="21" ht="15" hidden="0" customHeight="1">
      <x:c r="A21" s="7" t="n">
        <x:v>18</x:v>
      </x:c>
      <x:c r="B21" s="15"/>
      <x:c r="C21" s="16"/>
      <x:c r="D21" s="16"/>
      <x:c r="E21" s="16"/>
      <x:c r="F21" s="16"/>
      <x:c r="G21" s="16"/>
      <x:c r="H21" s="16"/>
      <x:c r="I21" s="16"/>
      <x:c r="J21" s="16"/>
    </x:row>
    <x:row r="22" ht="15" hidden="0" customHeight="1">
      <x:c r="A22" s="7" t="n">
        <x:v>19</x:v>
      </x:c>
      <x:c r="B22" s="15"/>
      <x:c r="C22" s="16"/>
      <x:c r="D22" s="16"/>
      <x:c r="E22" s="16"/>
      <x:c r="F22" s="16"/>
      <x:c r="G22" s="16"/>
      <x:c r="H22" s="16"/>
      <x:c r="I22" s="16"/>
      <x:c r="J22" s="16"/>
    </x:row>
    <x:row r="23" ht="15" hidden="0" customHeight="1">
      <x:c r="A23" s="7" t="n">
        <x:v>20</x:v>
      </x:c>
      <x:c r="B23" s="15"/>
      <x:c r="C23" s="16"/>
      <x:c r="D23" s="16"/>
      <x:c r="E23" s="16"/>
      <x:c r="F23" s="16"/>
      <x:c r="G23" s="16"/>
      <x:c r="H23" s="16"/>
      <x:c r="I23" s="16"/>
      <x:c r="J23" s="16"/>
    </x:row>
    <x:row r="24" ht="15" hidden="0" customHeight="1">
      <x:c r="A24" s="7" t="n">
        <x:v>21</x:v>
      </x:c>
      <x:c r="B24" s="15"/>
      <x:c r="C24" s="16"/>
      <x:c r="D24" s="16"/>
      <x:c r="E24" s="16"/>
      <x:c r="F24" s="16"/>
      <x:c r="G24" s="16"/>
      <x:c r="H24" s="16"/>
      <x:c r="I24" s="16"/>
      <x:c r="J24" s="16"/>
    </x:row>
    <x:row r="25" ht="15" hidden="0" customHeight="1">
      <x:c r="A25" s="7" t="n">
        <x:v>22</x:v>
      </x:c>
      <x:c r="B25" s="15"/>
      <x:c r="C25" s="16"/>
      <x:c r="D25" s="16"/>
      <x:c r="E25" s="16"/>
      <x:c r="F25" s="16"/>
      <x:c r="G25" s="16"/>
      <x:c r="H25" s="16"/>
      <x:c r="I25" s="16"/>
      <x:c r="J25" s="16"/>
    </x:row>
    <x:row r="26" ht="15" hidden="0" customHeight="1">
      <x:c r="A26" s="7" t="n">
        <x:v>23</x:v>
      </x:c>
      <x:c r="B26" s="15"/>
      <x:c r="C26" s="16"/>
      <x:c r="D26" s="16"/>
      <x:c r="E26" s="16"/>
      <x:c r="F26" s="16"/>
      <x:c r="G26" s="16"/>
      <x:c r="H26" s="16"/>
      <x:c r="I26" s="16"/>
      <x:c r="J26" s="16"/>
    </x:row>
    <x:row r="27" ht="15" hidden="0" customHeight="1">
      <x:c r="A27" s="7" t="n">
        <x:v>24</x:v>
      </x:c>
      <x:c r="B27" s="15"/>
      <x:c r="C27" s="16"/>
      <x:c r="D27" s="16"/>
      <x:c r="E27" s="16"/>
      <x:c r="F27" s="16"/>
      <x:c r="G27" s="16"/>
      <x:c r="H27" s="16"/>
      <x:c r="I27" s="16"/>
      <x:c r="J27" s="16"/>
    </x:row>
    <x:row r="28" ht="15" hidden="0" customHeight="1">
      <x:c r="A28" s="7" t="n">
        <x:v>25</x:v>
      </x:c>
      <x:c r="B28" s="15"/>
      <x:c r="C28" s="16"/>
      <x:c r="D28" s="16"/>
      <x:c r="E28" s="16"/>
      <x:c r="F28" s="16"/>
      <x:c r="G28" s="16"/>
      <x:c r="H28" s="16"/>
      <x:c r="I28" s="16"/>
      <x:c r="J28" s="16"/>
    </x:row>
    <x:row r="29" ht="15" hidden="0" customHeight="1">
      <x:c r="A29" s="7" t="n">
        <x:v>26</x:v>
      </x:c>
      <x:c r="B29" s="15"/>
      <x:c r="C29" s="16"/>
      <x:c r="D29" s="16"/>
      <x:c r="E29" s="16"/>
      <x:c r="F29" s="16"/>
      <x:c r="G29" s="16"/>
      <x:c r="H29" s="16"/>
      <x:c r="I29" s="16"/>
      <x:c r="J29" s="16"/>
    </x:row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dataValidations count="1">
    <x:dataValidation type="list" errorStyle="stop" operator="between" allowBlank="1" showDropDown="0" showInputMessage="0" showErrorMessage="0" sqref="I5:I29">
      <x:formula1>"Kept,Rejected,Partly kept"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4" hidden="0" customWidth="1"/>
    <x:col min="5" max="5" width="24" hidden="0" customWidth="1"/>
    <x:col min="6" max="6" width="15" hidden="0" customWidth="1"/>
    <x:col min="4" max="4" width="3" hidden="0" customWidth="1"/>
    <x:col min="7" max="7" width="3" hidden="0" customWidth="1"/>
    <x:col min="8" max="8" width="3" hidden="0" customWidth="1"/>
    <x:col min="10" max="10" width="20" hidden="0" customWidth="1"/>
    <x:col min="11" max="11" width="12" hidden="0" customWidth="1"/>
  </x:cols>
  <x:sheetData>
    <x:row r="1" ht="19.200000762939453" hidden="0" customHeight="1">
      <x:c r="A1" s="36" t="str">
        <x:v>T44 - Competitor Price Intelligence | Executive Dashboard</x:v>
      </x:c>
      <x:c r="B1" s="36"/>
      <x:c r="C1" s="36"/>
      <x:c r="D1" s="36"/>
      <x:c r="E1" s="36"/>
      <x:c r="F1" s="36"/>
      <x:c r="G1" s="36"/>
      <x:c r="H1" s="36"/>
    </x:row>
    <x:row r="2"/>
    <x:row r="3" ht="34" hidden="0" customHeight="1">
      <x:c r="A3" s="97" t="str">
        <x:v>Across 100 comparable observations, Our Brand is on average 0.7% below the three-competitor benchmark. 65 observation(s) exceed the ±5.0% review threshold. Fashion has the highest category-level average gap (+2.3%), while Grocery has the lowest (-2.3%). In the latest week (16 Feb 2026), 3 observation(s) are above and 7 are below benchmark, with an average gap of -5.4%. The strongest persistent product signal is Running Shoes at +12.8% on average across 2 observation(s). Price gaps are decision signals, not automatic price-change instructions.</x:v>
      </x:c>
      <x:c r="B3" s="97"/>
      <x:c r="C3" s="97"/>
      <x:c r="D3" s="97"/>
      <x:c r="E3" s="97"/>
      <x:c r="F3" s="97"/>
      <x:c r="G3" s="97"/>
      <x:c r="H3" s="97"/>
    </x:row>
    <x:row r="4" ht="34" customHeight="1">
      <x:c r="A4" s="97"/>
      <x:c r="B4" s="97"/>
      <x:c r="C4" s="97"/>
      <x:c r="D4" s="97"/>
      <x:c r="E4" s="97"/>
      <x:c r="F4" s="97"/>
      <x:c r="G4" s="97"/>
      <x:c r="H4" s="97"/>
    </x:row>
    <x:row r="5" ht="15" hidden="0" customHeight="1">
      <x:c r="A5" s="47" t="str">
        <x:v>KPI</x:v>
      </x:c>
      <x:c r="B5" s="47" t="str">
        <x:v>Value</x:v>
      </x:c>
      <x:c r="C5" s="47" t="str">
        <x:v>Interpretation</x:v>
      </x:c>
      <x:c r="E5" s="59" t="str">
        <x:v>Latest Week - 16 February 2026</x:v>
      </x:c>
      <x:c r="F5" s="59"/>
      <x:c r="G5" s="59"/>
      <x:c r="H5" s="59"/>
    </x:row>
    <x:row r="6" ht="26" hidden="0" customHeight="1">
      <x:c r="A6" s="41" t="str">
        <x:v>Source rows</x:v>
      </x:c>
      <x:c r="B6" s="41" t="n">
        <x:v>400</x:v>
      </x:c>
      <x:c r="C6" s="41" t="str">
        <x:v>Provided dataset</x:v>
      </x:c>
      <x:c r="E6" s="63" t="str">
        <x:v>Observations</x:v>
      </x:c>
      <x:c r="F6" t="n">
        <x:v>10</x:v>
      </x:c>
    </x:row>
    <x:row r="7" ht="26" hidden="0" customHeight="1">
      <x:c r="A7" s="41" t="str">
        <x:v>Comparable observations</x:v>
      </x:c>
      <x:c r="B7" s="41" t="n">
        <x:v>100</x:v>
      </x:c>
      <x:c r="C7" s="41" t="str">
        <x:v>Our Brand + 3 competitors</x:v>
      </x:c>
      <x:c r="E7" s="63" t="str">
        <x:v>Overpriced</x:v>
      </x:c>
      <x:c r="F7" t="n">
        <x:v>3</x:v>
      </x:c>
    </x:row>
    <x:row r="8" ht="26" hidden="0" customHeight="1">
      <x:c r="A8" s="41" t="str">
        <x:v>Overpriced observations</x:v>
      </x:c>
      <x:c r="B8" s="41" t="n">
        <x:v>49</x:v>
      </x:c>
      <x:c r="C8" s="41" t="str">
        <x:v>Our Brand above benchmark</x:v>
      </x:c>
      <x:c r="E8" s="63" t="str">
        <x:v>Underpriced</x:v>
      </x:c>
      <x:c r="F8" t="n">
        <x:v>7</x:v>
      </x:c>
    </x:row>
    <x:row r="9" ht="26" hidden="0" customHeight="1">
      <x:c r="A9" s="41" t="str">
        <x:v>Underpriced observations</x:v>
      </x:c>
      <x:c r="B9" s="41" t="n">
        <x:v>51</x:v>
      </x:c>
      <x:c r="C9" s="41" t="str">
        <x:v>Our Brand below benchmark</x:v>
      </x:c>
      <x:c r="E9" s="63" t="str">
        <x:v>Average gap %</x:v>
      </x:c>
      <x:c r="F9" s="95" t="n">
        <x:v>-5.355596738652046</x:v>
      </x:c>
    </x:row>
    <x:row r="10" ht="26" hidden="0" customHeight="1">
      <x:c r="A10" s="41" t="str">
        <x:v>Average gap %</x:v>
      </x:c>
      <x:c r="B10" s="93" t="n">
        <x:v>-0.6649473635058074</x:v>
      </x:c>
      <x:c r="C10" s="41" t="str">
        <x:v>Overall near benchmark</x:v>
      </x:c>
      <x:c r="E10" s="63" t="str">
        <x:v>Median gap %</x:v>
      </x:c>
      <x:c r="F10" s="95" t="n">
        <x:v>-5.352376154595184</x:v>
      </x:c>
    </x:row>
    <x:row r="11" ht="26" hidden="0" customHeight="1">
      <x:c r="A11" s="41" t="str">
        <x:v>Average absolute gap %</x:v>
      </x:c>
      <x:c r="B11" s="93" t="n">
        <x:v>7.813833424668712</x:v>
      </x:c>
      <x:c r="C11" s="41" t="str">
        <x:v>Typical magnitude of divergence</x:v>
      </x:c>
      <x:c r="E11" s="63" t="str">
        <x:v>Same-platform coverage %</x:v>
      </x:c>
      <x:c r="F11" s="95" t="n">
        <x:v>70</x:v>
      </x:c>
    </x:row>
    <x:row r="12" ht="26" hidden="0" customHeight="1">
      <x:c r="A12" s="41" t="str">
        <x:v>Same-platform coverage %</x:v>
      </x:c>
      <x:c r="B12" s="93" t="n">
        <x:v>57.99999999999999</x:v>
      </x:c>
      <x:c r="C12" s="41" t="str">
        <x:v>Observations with &gt;=1 same-platform competitor</x:v>
      </x:c>
    </x:row>
    <x:row r="13" ht="26" hidden="0" customHeight="1">
      <x:c r="A13" s="41" t="str">
        <x:v>Observations beyond ±5%</x:v>
      </x:c>
      <x:c r="B13" s="41" t="n">
        <x:v>65</x:v>
      </x:c>
      <x:c r="C13" s="41" t="str">
        <x:v>Human review threshold</x:v>
      </x:c>
    </x:row>
    <x:row r="14"/>
    <x:row r="15" ht="15" hidden="0" customHeight="1">
      <x:c r="A15" s="47" t="str">
        <x:v>Category</x:v>
      </x:c>
      <x:c r="B15" s="47" t="str">
        <x:v>Observations</x:v>
      </x:c>
      <x:c r="C15" s="47" t="str">
        <x:v>Avg gap %</x:v>
      </x:c>
      <x:c r="J15" s="47" t="str">
        <x:v>Category</x:v>
      </x:c>
      <x:c r="K15" s="47" t="str">
        <x:v>Avg gap %</x:v>
      </x:c>
    </x:row>
    <x:row r="16" ht="15" hidden="0" customHeight="1">
      <x:c r="A16" t="str">
        <x:v>Fashion</x:v>
      </x:c>
      <x:c r="B16" t="n">
        <x:v>15</x:v>
      </x:c>
      <x:c r="C16" s="95" t="n">
        <x:v>2.341273381930637</x:v>
      </x:c>
      <x:c r="J16" t="str">
        <x:v>Fashion</x:v>
      </x:c>
      <x:c r="K16" t="n">
        <x:v>2.341273381930637</x:v>
      </x:c>
    </x:row>
    <x:row r="17" ht="15" hidden="0" customHeight="1">
      <x:c r="A17" t="str">
        <x:v>Electronics</x:v>
      </x:c>
      <x:c r="B17" t="n">
        <x:v>15</x:v>
      </x:c>
      <x:c r="C17" s="95" t="n">
        <x:v>-0.4100765298677692</x:v>
      </x:c>
      <x:c r="J17" t="str">
        <x:v>Electronics</x:v>
      </x:c>
      <x:c r="K17" t="n">
        <x:v>-0.4100765298677692</x:v>
      </x:c>
    </x:row>
    <x:row r="18" ht="15" hidden="0" customHeight="1">
      <x:c r="A18" t="str">
        <x:v>Beauty</x:v>
      </x:c>
      <x:c r="B18" t="n">
        <x:v>21</x:v>
      </x:c>
      <x:c r="C18" s="95" t="n">
        <x:v>-0.5313099544259517</x:v>
      </x:c>
      <x:c r="J18" t="str">
        <x:v>Beauty</x:v>
      </x:c>
      <x:c r="K18" t="n">
        <x:v>-0.5313099544259517</x:v>
      </x:c>
    </x:row>
    <x:row r="19" ht="15" hidden="0" customHeight="1">
      <x:c r="A19" t="str">
        <x:v>Home &amp; Kitchen</x:v>
      </x:c>
      <x:c r="B19" t="n">
        <x:v>20</x:v>
      </x:c>
      <x:c r="C19" s="95" t="n">
        <x:v>-0.9021385959354793</x:v>
      </x:c>
      <x:c r="J19" t="str">
        <x:v>Home &amp; Kitchen</x:v>
      </x:c>
      <x:c r="K19" t="n">
        <x:v>-0.9021385959354793</x:v>
      </x:c>
    </x:row>
    <x:row r="20" ht="15" hidden="0" customHeight="1">
      <x:c r="A20" t="str">
        <x:v>Grocery</x:v>
      </x:c>
      <x:c r="B20" t="n">
        <x:v>29</x:v>
      </x:c>
      <x:c r="C20" s="95" t="n">
        <x:v>-2.284910626547214</x:v>
      </x:c>
      <x:c r="J20" t="str">
        <x:v>Grocery</x:v>
      </x:c>
      <x:c r="K20" t="n">
        <x:v>-2.284910626547214</x:v>
      </x:c>
    </x:row>
    <x:row r="21"/>
    <x:row r="22"/>
    <x:row r="23"/>
    <x:row r="24"/>
    <x:row r="25"/>
    <x:row r="26"/>
    <x:row r="27"/>
    <x:row r="28"/>
    <x:row r="29"/>
    <x:row r="30" ht="15" hidden="0" customHeight="1">
      <x:c r="A30" s="66" t="str">
        <x:v>Decision rule: ±5% is a review threshold, not an automatic price-change rule. Validate platform, stock, promotions and margin before action.</x:v>
      </x:c>
      <x:c r="B30" s="66"/>
      <x:c r="C30" s="66"/>
      <x:c r="D30" s="66"/>
      <x:c r="E30" s="66"/>
      <x:c r="F30" s="66"/>
      <x:c r="G30" s="66"/>
      <x:c r="H30" s="66"/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E5:H5"/>
    <x:mergeCell ref="A30:H30"/>
    <x:mergeCell ref="A3:H4"/>
  </x:mergeCells>
  <x:pageMargins left="0.7" right="0.7" top="0.75" bottom="0.75" header="0.3" footer="0.3"/>
  <x:drawing xmlns:r="http://schemas.openxmlformats.org/officeDocument/2006/relationships" r:id="R5b9f59015e9d42ae"/>
</x:worksheet>
</file>

<file path=xl/worksheets/sheet6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9.130000114440918" hidden="0" customWidth="1"/>
    <x:col min="3" max="3" width="12.630000114440918" hidden="0" customWidth="1"/>
    <x:col min="4" max="4" width="24" hidden="0" customWidth="1"/>
    <x:col min="5" max="5" width="16.3799991607666" hidden="0" customWidth="1"/>
    <x:col min="6" max="6" width="11.25" hidden="0" customWidth="1"/>
    <x:col min="7" max="7" width="19" hidden="0" customWidth="1"/>
    <x:col min="8" max="8" width="19.1299991607666" hidden="0" customWidth="1"/>
    <x:col min="9" max="9" width="19" hidden="0" customWidth="1"/>
    <x:col min="10" max="10" width="20.8799991607666" hidden="0" customWidth="1"/>
    <x:col min="11" max="11" width="17.3799991607666" hidden="0" customWidth="1"/>
    <x:col min="12" max="12" width="11.880000114440918" hidden="0" customWidth="1"/>
    <x:col min="13" max="13" width="9.630000114440918" hidden="0" customWidth="1"/>
    <x:col min="14" max="14" width="27.3799991607666" hidden="0" customWidth="1"/>
    <x:col min="15" max="15" width="33.75" hidden="0" customWidth="1"/>
    <x:col min="16" max="16" width="19.75" hidden="0" customWidth="1"/>
    <x:col min="17" max="17" width="12.75" hidden="0" customWidth="1"/>
    <x:col min="18" max="18" width="19.1299991607666" hidden="0" customWidth="1"/>
    <x:col min="19" max="19" width="20" hidden="0" customWidth="1"/>
    <x:col min="20" max="20" width="18.6299991607666" hidden="0" customWidth="1"/>
    <x:col min="21" max="21" width="18.75" hidden="0" customWidth="1"/>
    <x:col min="22" max="22" width="18.6299991607666" hidden="0" customWidth="1"/>
  </x:cols>
  <x:sheetData>
    <x:row r="1" ht="15" hidden="0" customHeight="1">
      <x:c r="A1" s="47" t="str">
        <x:v>observation_id</x:v>
      </x:c>
      <x:c r="B1" s="47" t="str">
        <x:v>week_start</x:v>
      </x:c>
      <x:c r="C1" s="47" t="str">
        <x:v>category</x:v>
      </x:c>
      <x:c r="D1" s="47" t="str">
        <x:v>product</x:v>
      </x:c>
      <x:c r="E1" s="47" t="str">
        <x:v>our_platform</x:v>
      </x:c>
      <x:c r="F1" s="47" t="str">
        <x:v>our_price_inr</x:v>
      </x:c>
      <x:c r="G1" s="47" t="str">
        <x:v>competitor_a_price_inr</x:v>
      </x:c>
      <x:c r="H1" s="47" t="str">
        <x:v>competitor_b_price_inr</x:v>
      </x:c>
      <x:c r="I1" s="47" t="str">
        <x:v>competitor_c_price_inr</x:v>
      </x:c>
      <x:c r="J1" s="47" t="str">
        <x:v>competitor_avg_price_inr</x:v>
      </x:c>
      <x:c r="K1" s="47" t="str">
        <x:v>price_gap_inr</x:v>
      </x:c>
      <x:c r="L1" s="47" t="str">
        <x:v>price_gap_pct</x:v>
      </x:c>
      <x:c r="M1" s="47" t="str">
        <x:v>position</x:v>
      </x:c>
      <x:c r="N1" s="47" t="str">
        <x:v>same_platform_competitor_count</x:v>
      </x:c>
      <x:c r="O1" s="47" t="str">
        <x:v>same_platform_competitor_avg_price_inr</x:v>
      </x:c>
      <x:c r="P1" s="47" t="str">
        <x:v>same_platform_gap_pct</x:v>
      </x:c>
      <x:c r="Q1" s="47" t="str">
        <x:v>our_availability</x:v>
      </x:c>
      <x:c r="R1" s="47" t="str">
        <x:v>source_row_our_brand</x:v>
      </x:c>
      <x:c r="S1" s="47" t="str">
        <x:v>source_rows_competitors</x:v>
      </x:c>
      <x:c r="T1" s="47" t="str">
        <x:v>competitor_a_platform</x:v>
      </x:c>
      <x:c r="U1" s="47" t="str">
        <x:v>competitor_b_platform</x:v>
      </x:c>
      <x:c r="V1" s="47" t="str">
        <x:v>competitor_c_platform</x:v>
      </x:c>
    </x:row>
    <x:row r="2" ht="15" hidden="0" customHeight="1">
      <x:c r="A2" t="str">
        <x:v>OBS-053</x:v>
      </x:c>
      <x:c r="B2" s="70" t="n">
        <x:v>45936</x:v>
      </x:c>
      <x:c r="C2" t="str">
        <x:v>Beauty</x:v>
      </x:c>
      <x:c r="D2" t="str">
        <x:v>Beard Trimmer</x:v>
      </x:c>
      <x:c r="E2" t="str">
        <x:v>Marketplace</x:v>
      </x:c>
      <x:c r="F2" s="72" t="n">
        <x:v>1018</x:v>
      </x:c>
      <x:c r="G2" s="72" t="n">
        <x:v>1274</x:v>
      </x:c>
      <x:c r="H2" s="72" t="n">
        <x:v>1122</x:v>
      </x:c>
      <x:c r="I2" s="72" t="n">
        <x:v>1255</x:v>
      </x:c>
      <x:c r="J2" s="72" t="n">
        <x:f>AVERAGE(G2:I2)</x:f>
        <x:v>1217</x:v>
      </x:c>
      <x:c r="K2" s="72" t="n">
        <x:f>F2-J2</x:f>
        <x:v>-199</x:v>
      </x:c>
      <x:c r="L2" s="53" t="n">
        <x:f>IFERROR(K2/J2*100,0)</x:f>
        <x:v>-16.35168447000822</x:v>
      </x:c>
      <x:c r="M2" t="str">
        <x:f>IF(L2&gt;0,"Overpriced",IF(L2&lt;0,"Underpriced","At benchmark"))</x:f>
        <x:v>Underpriced</x:v>
      </x:c>
      <x:c r="N2" t="n">
        <x:v>2</x:v>
      </x:c>
      <x:c r="O2" t="n">
        <x:v>1264.5</x:v>
      </x:c>
      <x:c r="P2" s="53" t="n">
        <x:f>IFERROR((F2-O2)/O2*100,"")</x:f>
        <x:v>-19.493871095294583</x:v>
      </x:c>
      <x:c r="Q2" t="str">
        <x:v>In stock</x:v>
      </x:c>
      <x:c r="R2" t="n">
        <x:v>210</x:v>
      </x:c>
      <x:c r="S2" t="str">
        <x:v>211, 212, 213</x:v>
      </x:c>
      <x:c r="T2" t="str">
        <x:v>Marketplace</x:v>
      </x:c>
      <x:c r="U2" t="str">
        <x:v>Quick-commerce app</x:v>
      </x:c>
      <x:c r="V2" t="str">
        <x:v>Marketplace</x:v>
      </x:c>
    </x:row>
    <x:row r="3" ht="15" hidden="0" customHeight="1">
      <x:c r="A3" t="str">
        <x:v>OBS-070</x:v>
      </x:c>
      <x:c r="B3" s="70" t="n">
        <x:v>45936</x:v>
      </x:c>
      <x:c r="C3" t="str">
        <x:v>Electronics</x:v>
      </x:c>
      <x:c r="D3" t="str">
        <x:v>USB-C Charger 65W</x:v>
      </x:c>
      <x:c r="E3" t="str">
        <x:v>Marketplace</x:v>
      </x:c>
      <x:c r="F3" s="72" t="n">
        <x:v>1715</x:v>
      </x:c>
      <x:c r="G3" s="72" t="n">
        <x:v>1871</x:v>
      </x:c>
      <x:c r="H3" s="72" t="n">
        <x:v>1707</x:v>
      </x:c>
      <x:c r="I3" s="72" t="n">
        <x:v>1706</x:v>
      </x:c>
      <x:c r="J3" s="72" t="n">
        <x:f>AVERAGE(G3:I3)</x:f>
        <x:v>1761.3333333333333</x:v>
      </x:c>
      <x:c r="K3" s="72" t="n">
        <x:f>F3-J3</x:f>
        <x:v>-46.33333333333326</x:v>
      </x:c>
      <x:c r="L3" s="53" t="n">
        <x:f>IFERROR(K3/J3*100,0)</x:f>
        <x:v>-2.6305828917486713</x:v>
      </x:c>
      <x:c r="M3" t="str">
        <x:f>IF(L3&gt;0,"Overpriced",IF(L3&lt;0,"Underpriced","At benchmark"))</x:f>
        <x:v>Underpriced</x:v>
      </x:c>
      <x:c r="N3" t="n">
        <x:v>0</x:v>
      </x:c>
      <x:c r="O3"/>
      <x:c r="P3" s="53" t="str">
        <x:f>IFERROR((F3-O3)/O3*100,"")</x:f>
      </x:c>
      <x:c r="Q3" t="str">
        <x:v>Low stock</x:v>
      </x:c>
      <x:c r="R3" t="n">
        <x:v>278</x:v>
      </x:c>
      <x:c r="S3" t="str">
        <x:v>279, 280, 281</x:v>
      </x:c>
      <x:c r="T3" t="str">
        <x:v>Quick-commerce app</x:v>
      </x:c>
      <x:c r="U3" t="str">
        <x:v>Quick-commerce app</x:v>
      </x:c>
      <x:c r="V3" t="str">
        <x:v>Quick-commerce app</x:v>
      </x:c>
    </x:row>
    <x:row r="4" ht="15" hidden="0" customHeight="1">
      <x:c r="A4" t="str">
        <x:v>OBS-008</x:v>
      </x:c>
      <x:c r="B4" s="70" t="n">
        <x:v>45936</x:v>
      </x:c>
      <x:c r="C4" t="str">
        <x:v>Home &amp; Kitchen</x:v>
      </x:c>
      <x:c r="D4" t="str">
        <x:v>Non-stick Cookware Set</x:v>
      </x:c>
      <x:c r="E4" t="str">
        <x:v>Own website</x:v>
      </x:c>
      <x:c r="F4" s="72" t="n">
        <x:v>1619</x:v>
      </x:c>
      <x:c r="G4" s="72" t="n">
        <x:v>1611</x:v>
      </x:c>
      <x:c r="H4" s="72" t="n">
        <x:v>1678</x:v>
      </x:c>
      <x:c r="I4" s="72" t="n">
        <x:v>1778</x:v>
      </x:c>
      <x:c r="J4" s="72" t="n">
        <x:f>AVERAGE(G4:I4)</x:f>
        <x:v>1689</x:v>
      </x:c>
      <x:c r="K4" s="72" t="n">
        <x:f>F4-J4</x:f>
        <x:v>-70</x:v>
      </x:c>
      <x:c r="L4" s="53" t="n">
        <x:f>IFERROR(K4/J4*100,0)</x:f>
        <x:v>-4.144464179988159</x:v>
      </x:c>
      <x:c r="M4" t="str">
        <x:f>IF(L4&gt;0,"Overpriced",IF(L4&lt;0,"Underpriced","At benchmark"))</x:f>
        <x:v>Underpriced</x:v>
      </x:c>
      <x:c r="N4" t="n">
        <x:v>1</x:v>
      </x:c>
      <x:c r="O4" t="n">
        <x:v>1778</x:v>
      </x:c>
      <x:c r="P4" s="53" t="n">
        <x:f>IFERROR((F4-O4)/O4*100,"")</x:f>
        <x:v>-8.942632170978628</x:v>
      </x:c>
      <x:c r="Q4" t="str">
        <x:v>Low stock</x:v>
      </x:c>
      <x:c r="R4" t="n">
        <x:v>30</x:v>
      </x:c>
      <x:c r="S4" t="str">
        <x:v>31, 32, 33</x:v>
      </x:c>
      <x:c r="T4" t="str">
        <x:v>Marketplace</x:v>
      </x:c>
      <x:c r="U4" t="str">
        <x:v>Quick-commerce app</x:v>
      </x:c>
      <x:c r="V4" t="str">
        <x:v>Own website</x:v>
      </x:c>
    </x:row>
    <x:row r="5" ht="15" hidden="0" customHeight="1">
      <x:c r="A5" t="str">
        <x:v>OBS-017</x:v>
      </x:c>
      <x:c r="B5" s="70" t="n">
        <x:v>45943</x:v>
      </x:c>
      <x:c r="C5" t="str">
        <x:v>Electronics</x:v>
      </x:c>
      <x:c r="D5" t="str">
        <x:v>Power Bank 20000mAh</x:v>
      </x:c>
      <x:c r="E5" t="str">
        <x:v>Quick-commerce app</x:v>
      </x:c>
      <x:c r="F5" s="72" t="n">
        <x:v>1390</x:v>
      </x:c>
      <x:c r="G5" s="72" t="n">
        <x:v>1194</x:v>
      </x:c>
      <x:c r="H5" s="72" t="n">
        <x:v>1532</x:v>
      </x:c>
      <x:c r="I5" s="72" t="n">
        <x:v>1380</x:v>
      </x:c>
      <x:c r="J5" s="72" t="n">
        <x:f>AVERAGE(G5:I5)</x:f>
        <x:v>1368.6666666666667</x:v>
      </x:c>
      <x:c r="K5" s="72" t="n">
        <x:f>F5-J5</x:f>
        <x:v>21.333333333333258</x:v>
      </x:c>
      <x:c r="L5" s="53" t="n">
        <x:f>IFERROR(K5/J5*100,0)</x:f>
        <x:v>1.558694593278124</x:v>
      </x:c>
      <x:c r="M5" t="str">
        <x:f>IF(L5&gt;0,"Overpriced",IF(L5&lt;0,"Underpriced","At benchmark"))</x:f>
        <x:v>Overpriced</x:v>
      </x:c>
      <x:c r="N5" t="n">
        <x:v>0</x:v>
      </x:c>
      <x:c r="O5"/>
      <x:c r="P5" s="53" t="str">
        <x:f>IFERROR((F5-O5)/O5*100,"")</x:f>
      </x:c>
      <x:c r="Q5" t="str">
        <x:v>Low stock</x:v>
      </x:c>
      <x:c r="R5" t="n">
        <x:v>66</x:v>
      </x:c>
      <x:c r="S5" t="str">
        <x:v>67, 68, 69</x:v>
      </x:c>
      <x:c r="T5" t="str">
        <x:v>Own website</x:v>
      </x:c>
      <x:c r="U5" t="str">
        <x:v>Own website</x:v>
      </x:c>
      <x:c r="V5" t="str">
        <x:v>Own website</x:v>
      </x:c>
    </x:row>
    <x:row r="6" ht="15" hidden="0" customHeight="1">
      <x:c r="A6" t="str">
        <x:v>OBS-031</x:v>
      </x:c>
      <x:c r="B6" s="70" t="n">
        <x:v>45943</x:v>
      </x:c>
      <x:c r="C6" t="str">
        <x:v>Electronics</x:v>
      </x:c>
      <x:c r="D6" t="str">
        <x:v>Smartwatch</x:v>
      </x:c>
      <x:c r="E6" t="str">
        <x:v>Quick-commerce app</x:v>
      </x:c>
      <x:c r="F6" s="72" t="n">
        <x:v>6184</x:v>
      </x:c>
      <x:c r="G6" s="72" t="n">
        <x:v>5615</x:v>
      </x:c>
      <x:c r="H6" s="72" t="n">
        <x:v>6440</x:v>
      </x:c>
      <x:c r="I6" s="72" t="n">
        <x:v>5114</x:v>
      </x:c>
      <x:c r="J6" s="72" t="n">
        <x:f>AVERAGE(G6:I6)</x:f>
        <x:v>5723</x:v>
      </x:c>
      <x:c r="K6" s="72" t="n">
        <x:f>F6-J6</x:f>
        <x:v>461</x:v>
      </x:c>
      <x:c r="L6" s="53" t="n">
        <x:f>IFERROR(K6/J6*100,0)</x:f>
        <x:v>8.055215795911236</x:v>
      </x:c>
      <x:c r="M6" t="str">
        <x:f>IF(L6&gt;0,"Overpriced",IF(L6&lt;0,"Underpriced","At benchmark"))</x:f>
        <x:v>Overpriced</x:v>
      </x:c>
      <x:c r="N6" t="n">
        <x:v>0</x:v>
      </x:c>
      <x:c r="O6"/>
      <x:c r="P6" s="53" t="str">
        <x:f>IFERROR((F6-O6)/O6*100,"")</x:f>
      </x:c>
      <x:c r="Q6" t="str">
        <x:v>In stock</x:v>
      </x:c>
      <x:c r="R6" t="n">
        <x:v>122</x:v>
      </x:c>
      <x:c r="S6" t="str">
        <x:v>123, 124, 125</x:v>
      </x:c>
      <x:c r="T6" t="str">
        <x:v>Own website</x:v>
      </x:c>
      <x:c r="U6" t="str">
        <x:v>Own website</x:v>
      </x:c>
      <x:c r="V6" t="str">
        <x:v>Own website</x:v>
      </x:c>
    </x:row>
    <x:row r="7" ht="15" hidden="0" customHeight="1">
      <x:c r="A7" t="str">
        <x:v>OBS-084</x:v>
      </x:c>
      <x:c r="B7" s="70" t="n">
        <x:v>45943</x:v>
      </x:c>
      <x:c r="C7" t="str">
        <x:v>Fashion</x:v>
      </x:c>
      <x:c r="D7" t="str">
        <x:v>Cotton Kurta</x:v>
      </x:c>
      <x:c r="E7" t="str">
        <x:v>Quick-commerce app</x:v>
      </x:c>
      <x:c r="F7" s="72" t="n">
        <x:v>1171</x:v>
      </x:c>
      <x:c r="G7" s="72" t="n">
        <x:v>1070</x:v>
      </x:c>
      <x:c r="H7" s="72" t="n">
        <x:v>1228</x:v>
      </x:c>
      <x:c r="I7" s="72" t="n">
        <x:v>1113</x:v>
      </x:c>
      <x:c r="J7" s="72" t="n">
        <x:f>AVERAGE(G7:I7)</x:f>
        <x:v>1137</x:v>
      </x:c>
      <x:c r="K7" s="72" t="n">
        <x:f>F7-J7</x:f>
        <x:v>34</x:v>
      </x:c>
      <x:c r="L7" s="53" t="n">
        <x:f>IFERROR(K7/J7*100,0)</x:f>
        <x:v>2.990325417766051</x:v>
      </x:c>
      <x:c r="M7" t="str">
        <x:f>IF(L7&gt;0,"Overpriced",IF(L7&lt;0,"Underpriced","At benchmark"))</x:f>
        <x:v>Overpriced</x:v>
      </x:c>
      <x:c r="N7" t="n">
        <x:v>1</x:v>
      </x:c>
      <x:c r="O7" t="n">
        <x:v>1228</x:v>
      </x:c>
      <x:c r="P7" s="53" t="n">
        <x:f>IFERROR((F7-O7)/O7*100,"")</x:f>
        <x:v>-4.641693811074918</x:v>
      </x:c>
      <x:c r="Q7" t="str">
        <x:v>Out of stock</x:v>
      </x:c>
      <x:c r="R7" t="n">
        <x:v>334</x:v>
      </x:c>
      <x:c r="S7" t="str">
        <x:v>335, 336, 337</x:v>
      </x:c>
      <x:c r="T7" t="str">
        <x:v>Marketplace</x:v>
      </x:c>
      <x:c r="U7" t="str">
        <x:v>Quick-commerce app</x:v>
      </x:c>
      <x:c r="V7" t="str">
        <x:v>Marketplace</x:v>
      </x:c>
    </x:row>
    <x:row r="8" ht="15" hidden="0" customHeight="1">
      <x:c r="A8" t="str">
        <x:v>OBS-016</x:v>
      </x:c>
      <x:c r="B8" s="70" t="n">
        <x:v>45943</x:v>
      </x:c>
      <x:c r="C8" t="str">
        <x:v>Fashion</x:v>
      </x:c>
      <x:c r="D8" t="str">
        <x:v>Saree</x:v>
      </x:c>
      <x:c r="E8" t="str">
        <x:v>Marketplace</x:v>
      </x:c>
      <x:c r="F8" s="72" t="n">
        <x:v>1146</x:v>
      </x:c>
      <x:c r="G8" s="72" t="n">
        <x:v>1005</x:v>
      </x:c>
      <x:c r="H8" s="72" t="n">
        <x:v>1044</x:v>
      </x:c>
      <x:c r="I8" s="72" t="n">
        <x:v>1131</x:v>
      </x:c>
      <x:c r="J8" s="72" t="n">
        <x:f>AVERAGE(G8:I8)</x:f>
        <x:v>1060</x:v>
      </x:c>
      <x:c r="K8" s="72" t="n">
        <x:f>F8-J8</x:f>
        <x:v>86</x:v>
      </x:c>
      <x:c r="L8" s="53" t="n">
        <x:f>IFERROR(K8/J8*100,0)</x:f>
        <x:v>8.11320754716981</x:v>
      </x:c>
      <x:c r="M8" t="str">
        <x:f>IF(L8&gt;0,"Overpriced",IF(L8&lt;0,"Underpriced","At benchmark"))</x:f>
        <x:v>Overpriced</x:v>
      </x:c>
      <x:c r="N8" t="n">
        <x:v>0</x:v>
      </x:c>
      <x:c r="O8"/>
      <x:c r="P8" s="53" t="str">
        <x:f>IFERROR((F8-O8)/O8*100,"")</x:f>
      </x:c>
      <x:c r="Q8" t="str">
        <x:v>In stock</x:v>
      </x:c>
      <x:c r="R8" t="n">
        <x:v>62</x:v>
      </x:c>
      <x:c r="S8" t="str">
        <x:v>63, 64, 65</x:v>
      </x:c>
      <x:c r="T8" t="str">
        <x:v>Own website</x:v>
      </x:c>
      <x:c r="U8" t="str">
        <x:v>Quick-commerce app</x:v>
      </x:c>
      <x:c r="V8" t="str">
        <x:v>Quick-commerce app</x:v>
      </x:c>
    </x:row>
    <x:row r="9" ht="15" hidden="0" customHeight="1">
      <x:c r="A9" t="str">
        <x:v>OBS-097</x:v>
      </x:c>
      <x:c r="B9" s="70" t="n">
        <x:v>45943</x:v>
      </x:c>
      <x:c r="C9" t="str">
        <x:v>Fashion</x:v>
      </x:c>
      <x:c r="D9" t="str">
        <x:v>Saree</x:v>
      </x:c>
      <x:c r="E9" t="str">
        <x:v>Marketplace</x:v>
      </x:c>
      <x:c r="F9" s="72" t="n">
        <x:v>1578</x:v>
      </x:c>
      <x:c r="G9" s="72" t="n">
        <x:v>1787</x:v>
      </x:c>
      <x:c r="H9" s="72" t="n">
        <x:v>1621</x:v>
      </x:c>
      <x:c r="I9" s="72" t="n">
        <x:v>1522</x:v>
      </x:c>
      <x:c r="J9" s="72" t="n">
        <x:f>AVERAGE(G9:I9)</x:f>
        <x:v>1643.3333333333333</x:v>
      </x:c>
      <x:c r="K9" s="72" t="n">
        <x:f>F9-J9</x:f>
        <x:v>-65.33333333333326</x:v>
      </x:c>
      <x:c r="L9" s="53" t="n">
        <x:f>IFERROR(K9/J9*100,0)</x:f>
        <x:v>-3.9756592292089206</x:v>
      </x:c>
      <x:c r="M9" t="str">
        <x:f>IF(L9&gt;0,"Overpriced",IF(L9&lt;0,"Underpriced","At benchmark"))</x:f>
        <x:v>Underpriced</x:v>
      </x:c>
      <x:c r="N9" t="n">
        <x:v>1</x:v>
      </x:c>
      <x:c r="O9" t="n">
        <x:v>1522</x:v>
      </x:c>
      <x:c r="P9" s="53" t="n">
        <x:f>IFERROR((F9-O9)/O9*100,"")</x:f>
        <x:v>3.679369250985545</x:v>
      </x:c>
      <x:c r="Q9" t="str">
        <x:v>In stock</x:v>
      </x:c>
      <x:c r="R9" t="n">
        <x:v>386</x:v>
      </x:c>
      <x:c r="S9" t="str">
        <x:v>387, 388, 389</x:v>
      </x:c>
      <x:c r="T9" t="str">
        <x:v>Quick-commerce app</x:v>
      </x:c>
      <x:c r="U9" t="str">
        <x:v>Own website</x:v>
      </x:c>
      <x:c r="V9" t="str">
        <x:v>Marketplace</x:v>
      </x:c>
    </x:row>
    <x:row r="10" ht="15" hidden="0" customHeight="1">
      <x:c r="A10" t="str">
        <x:v>OBS-038</x:v>
      </x:c>
      <x:c r="B10" s="70" t="n">
        <x:v>45943</x:v>
      </x:c>
      <x:c r="C10" t="str">
        <x:v>Grocery</x:v>
      </x:c>
      <x:c r="D10" t="str">
        <x:v>Dry Fruits Mix 500g</x:v>
      </x:c>
      <x:c r="E10" t="str">
        <x:v>Own website</x:v>
      </x:c>
      <x:c r="F10" s="72" t="n">
        <x:v>641</x:v>
      </x:c>
      <x:c r="G10" s="72" t="n">
        <x:v>688</x:v>
      </x:c>
      <x:c r="H10" s="72" t="n">
        <x:v>607</x:v>
      </x:c>
      <x:c r="I10" s="72" t="n">
        <x:v>589</x:v>
      </x:c>
      <x:c r="J10" s="72" t="n">
        <x:f>AVERAGE(G10:I10)</x:f>
        <x:v>628</x:v>
      </x:c>
      <x:c r="K10" s="72" t="n">
        <x:f>F10-J10</x:f>
        <x:v>13</x:v>
      </x:c>
      <x:c r="L10" s="53" t="n">
        <x:f>IFERROR(K10/J10*100,0)</x:f>
        <x:v>2.0700636942675157</x:v>
      </x:c>
      <x:c r="M10" t="str">
        <x:f>IF(L10&gt;0,"Overpriced",IF(L10&lt;0,"Underpriced","At benchmark"))</x:f>
        <x:v>Overpriced</x:v>
      </x:c>
      <x:c r="N10" t="n">
        <x:v>2</x:v>
      </x:c>
      <x:c r="O10" t="n">
        <x:v>638.5</x:v>
      </x:c>
      <x:c r="P10" s="53" t="n">
        <x:f>IFERROR((F10-O10)/O10*100,"")</x:f>
        <x:v>0.39154267815191857</x:v>
      </x:c>
      <x:c r="Q10" t="str">
        <x:v>Low stock</x:v>
      </x:c>
      <x:c r="R10" t="n">
        <x:v>150</x:v>
      </x:c>
      <x:c r="S10" t="str">
        <x:v>151, 152, 153</x:v>
      </x:c>
      <x:c r="T10" t="str">
        <x:v>Own website</x:v>
      </x:c>
      <x:c r="U10" t="str">
        <x:v>Marketplace</x:v>
      </x:c>
      <x:c r="V10" t="str">
        <x:v>Own website</x:v>
      </x:c>
    </x:row>
    <x:row r="11" ht="15" hidden="0" customHeight="1">
      <x:c r="A11" t="str">
        <x:v>OBS-088</x:v>
      </x:c>
      <x:c r="B11" s="70" t="n">
        <x:v>45943</x:v>
      </x:c>
      <x:c r="C11" t="str">
        <x:v>Grocery</x:v>
      </x:c>
      <x:c r="D11" t="str">
        <x:v>Organic Jaggery 1kg</x:v>
      </x:c>
      <x:c r="E11" t="str">
        <x:v>Quick-commerce app</x:v>
      </x:c>
      <x:c r="F11" s="72" t="n">
        <x:v>173</x:v>
      </x:c>
      <x:c r="G11" s="72" t="n">
        <x:v>168</x:v>
      </x:c>
      <x:c r="H11" s="72" t="n">
        <x:v>202</x:v>
      </x:c>
      <x:c r="I11" s="72" t="n">
        <x:v>182</x:v>
      </x:c>
      <x:c r="J11" s="72" t="n">
        <x:f>AVERAGE(G11:I11)</x:f>
        <x:v>184</x:v>
      </x:c>
      <x:c r="K11" s="72" t="n">
        <x:f>F11-J11</x:f>
        <x:v>-11</x:v>
      </x:c>
      <x:c r="L11" s="53" t="n">
        <x:f>IFERROR(K11/J11*100,0)</x:f>
        <x:v>-5.978260869565218</x:v>
      </x:c>
      <x:c r="M11" t="str">
        <x:f>IF(L11&gt;0,"Overpriced",IF(L11&lt;0,"Underpriced","At benchmark"))</x:f>
        <x:v>Underpriced</x:v>
      </x:c>
      <x:c r="N11" t="n">
        <x:v>0</x:v>
      </x:c>
      <x:c r="O11"/>
      <x:c r="P11" s="53" t="str">
        <x:f>IFERROR((F11-O11)/O11*100,"")</x:f>
      </x:c>
      <x:c r="Q11" t="str">
        <x:v>Low stock</x:v>
      </x:c>
      <x:c r="R11" t="n">
        <x:v>350</x:v>
      </x:c>
      <x:c r="S11" t="str">
        <x:v>351, 352, 353</x:v>
      </x:c>
      <x:c r="T11" t="str">
        <x:v>Marketplace</x:v>
      </x:c>
      <x:c r="U11" t="str">
        <x:v>Marketplace</x:v>
      </x:c>
      <x:c r="V11" t="str">
        <x:v>Marketplace</x:v>
      </x:c>
    </x:row>
    <x:row r="12" ht="15" hidden="0" customHeight="1">
      <x:c r="A12" t="str">
        <x:v>OBS-082</x:v>
      </x:c>
      <x:c r="B12" s="70" t="n">
        <x:v>45943</x:v>
      </x:c>
      <x:c r="C12" t="str">
        <x:v>Home &amp; Kitchen</x:v>
      </x:c>
      <x:c r="D12" t="str">
        <x:v>Air Fryer</x:v>
      </x:c>
      <x:c r="E12" t="str">
        <x:v>Own website</x:v>
      </x:c>
      <x:c r="F12" s="72" t="n">
        <x:v>5900</x:v>
      </x:c>
      <x:c r="G12" s="72" t="n">
        <x:v>7303</x:v>
      </x:c>
      <x:c r="H12" s="72" t="n">
        <x:v>5927</x:v>
      </x:c>
      <x:c r="I12" s="72" t="n">
        <x:v>5953</x:v>
      </x:c>
      <x:c r="J12" s="72" t="n">
        <x:f>AVERAGE(G12:I12)</x:f>
        <x:v>6394.333333333333</x:v>
      </x:c>
      <x:c r="K12" s="72" t="n">
        <x:f>F12-J12</x:f>
        <x:v>-494.33333333333303</x:v>
      </x:c>
      <x:c r="L12" s="53" t="n">
        <x:f>IFERROR(K12/J12*100,0)</x:f>
        <x:v>-7.730803315435537</x:v>
      </x:c>
      <x:c r="M12" t="str">
        <x:f>IF(L12&gt;0,"Overpriced",IF(L12&lt;0,"Underpriced","At benchmark"))</x:f>
        <x:v>Underpriced</x:v>
      </x:c>
      <x:c r="N12" t="n">
        <x:v>0</x:v>
      </x:c>
      <x:c r="O12"/>
      <x:c r="P12" s="53" t="str">
        <x:f>IFERROR((F12-O12)/O12*100,"")</x:f>
      </x:c>
      <x:c r="Q12" t="str">
        <x:v>In stock</x:v>
      </x:c>
      <x:c r="R12" t="n">
        <x:v>326</x:v>
      </x:c>
      <x:c r="S12" t="str">
        <x:v>327, 328, 329</x:v>
      </x:c>
      <x:c r="T12" t="str">
        <x:v>Marketplace</x:v>
      </x:c>
      <x:c r="U12" t="str">
        <x:v>Quick-commerce app</x:v>
      </x:c>
      <x:c r="V12" t="str">
        <x:v>Marketplace</x:v>
      </x:c>
    </x:row>
    <x:row r="13" ht="15" hidden="0" customHeight="1">
      <x:c r="A13" t="str">
        <x:v>OBS-096</x:v>
      </x:c>
      <x:c r="B13" s="70" t="n">
        <x:v>45950</x:v>
      </x:c>
      <x:c r="C13" t="str">
        <x:v>Beauty</x:v>
      </x:c>
      <x:c r="D13" t="str">
        <x:v>Face Serum</x:v>
      </x:c>
      <x:c r="E13" t="str">
        <x:v>Quick-commerce app</x:v>
      </x:c>
      <x:c r="F13" s="72" t="n">
        <x:v>503</x:v>
      </x:c>
      <x:c r="G13" s="72" t="n">
        <x:v>498</x:v>
      </x:c>
      <x:c r="H13" s="72" t="n">
        <x:v>561</x:v>
      </x:c>
      <x:c r="I13" s="72" t="n">
        <x:v>493</x:v>
      </x:c>
      <x:c r="J13" s="72" t="n">
        <x:f>AVERAGE(G13:I13)</x:f>
        <x:v>517.3333333333334</x:v>
      </x:c>
      <x:c r="K13" s="72" t="n">
        <x:f>F13-J13</x:f>
        <x:v>-14.333333333333371</x:v>
      </x:c>
      <x:c r="L13" s="53" t="n">
        <x:f>IFERROR(K13/J13*100,0)</x:f>
        <x:v>-2.770618556701038</x:v>
      </x:c>
      <x:c r="M13" t="str">
        <x:f>IF(L13&gt;0,"Overpriced",IF(L13&lt;0,"Underpriced","At benchmark"))</x:f>
        <x:v>Underpriced</x:v>
      </x:c>
      <x:c r="N13" t="n">
        <x:v>3</x:v>
      </x:c>
      <x:c r="O13" t="n">
        <x:v>517.3333333333334</x:v>
      </x:c>
      <x:c r="P13" s="53" t="n">
        <x:f>IFERROR((F13-O13)/O13*100,"")</x:f>
        <x:v>-2.770618556701038</x:v>
      </x:c>
      <x:c r="Q13" t="str">
        <x:v>In stock</x:v>
      </x:c>
      <x:c r="R13" t="n">
        <x:v>382</x:v>
      </x:c>
      <x:c r="S13" t="str">
        <x:v>383, 384, 385</x:v>
      </x:c>
      <x:c r="T13" t="str">
        <x:v>Quick-commerce app</x:v>
      </x:c>
      <x:c r="U13" t="str">
        <x:v>Quick-commerce app</x:v>
      </x:c>
      <x:c r="V13" t="str">
        <x:v>Quick-commerce app</x:v>
      </x:c>
    </x:row>
    <x:row r="14" ht="15" hidden="0" customHeight="1">
      <x:c r="A14" t="str">
        <x:v>OBS-054</x:v>
      </x:c>
      <x:c r="B14" s="70" t="n">
        <x:v>45950</x:v>
      </x:c>
      <x:c r="C14" t="str">
        <x:v>Electronics</x:v>
      </x:c>
      <x:c r="D14" t="str">
        <x:v>Smartwatch</x:v>
      </x:c>
      <x:c r="E14" t="str">
        <x:v>Marketplace</x:v>
      </x:c>
      <x:c r="F14" s="72" t="n">
        <x:v>8686</x:v>
      </x:c>
      <x:c r="G14" s="72" t="n">
        <x:v>10004</x:v>
      </x:c>
      <x:c r="H14" s="72" t="n">
        <x:v>8583</x:v>
      </x:c>
      <x:c r="I14" s="72" t="n">
        <x:v>9735</x:v>
      </x:c>
      <x:c r="J14" s="72" t="n">
        <x:f>AVERAGE(G14:I14)</x:f>
        <x:v>9440.666666666666</x:v>
      </x:c>
      <x:c r="K14" s="72" t="n">
        <x:f>F14-J14</x:f>
        <x:v>-754.6666666666661</x:v>
      </x:c>
      <x:c r="L14" s="53" t="n">
        <x:f>IFERROR(K14/J14*100,0)</x:f>
        <x:v>-7.9937857495939495</x:v>
      </x:c>
      <x:c r="M14" t="str">
        <x:f>IF(L14&gt;0,"Overpriced",IF(L14&lt;0,"Underpriced","At benchmark"))</x:f>
        <x:v>Underpriced</x:v>
      </x:c>
      <x:c r="N14" t="n">
        <x:v>1</x:v>
      </x:c>
      <x:c r="O14" t="n">
        <x:v>9735</x:v>
      </x:c>
      <x:c r="P14" s="53" t="n">
        <x:f>IFERROR((F14-O14)/O14*100,"")</x:f>
        <x:v>-10.775552131484336</x:v>
      </x:c>
      <x:c r="Q14" t="str">
        <x:v>Low stock</x:v>
      </x:c>
      <x:c r="R14" t="n">
        <x:v>214</x:v>
      </x:c>
      <x:c r="S14" t="str">
        <x:v>215, 216, 217</x:v>
      </x:c>
      <x:c r="T14" t="str">
        <x:v>Own website</x:v>
      </x:c>
      <x:c r="U14" t="str">
        <x:v>Own website</x:v>
      </x:c>
      <x:c r="V14" t="str">
        <x:v>Marketplace</x:v>
      </x:c>
    </x:row>
    <x:row r="15" ht="15" hidden="0" customHeight="1">
      <x:c r="A15" t="str">
        <x:v>OBS-065</x:v>
      </x:c>
      <x:c r="B15" s="70" t="n">
        <x:v>45950</x:v>
      </x:c>
      <x:c r="C15" t="str">
        <x:v>Fashion</x:v>
      </x:c>
      <x:c r="D15" t="str">
        <x:v>Cotton Kurta</x:v>
      </x:c>
      <x:c r="E15" t="str">
        <x:v>Marketplace</x:v>
      </x:c>
      <x:c r="F15" s="72" t="n">
        <x:v>1707</x:v>
      </x:c>
      <x:c r="G15" s="72" t="n">
        <x:v>1697</x:v>
      </x:c>
      <x:c r="H15" s="72" t="n">
        <x:v>1925</x:v>
      </x:c>
      <x:c r="I15" s="72" t="n">
        <x:v>1960</x:v>
      </x:c>
      <x:c r="J15" s="72" t="n">
        <x:f>AVERAGE(G15:I15)</x:f>
        <x:v>1860.6666666666667</x:v>
      </x:c>
      <x:c r="K15" s="72" t="n">
        <x:f>F15-J15</x:f>
        <x:v>-153.66666666666674</x:v>
      </x:c>
      <x:c r="L15" s="53" t="n">
        <x:f>IFERROR(K15/J15*100,0)</x:f>
        <x:v>-8.25868864206378</x:v>
      </x:c>
      <x:c r="M15" t="str">
        <x:f>IF(L15&gt;0,"Overpriced",IF(L15&lt;0,"Underpriced","At benchmark"))</x:f>
        <x:v>Underpriced</x:v>
      </x:c>
      <x:c r="N15" t="n">
        <x:v>1</x:v>
      </x:c>
      <x:c r="O15" t="n">
        <x:v>1960</x:v>
      </x:c>
      <x:c r="P15" s="53" t="n">
        <x:f>IFERROR((F15-O15)/O15*100,"")</x:f>
        <x:v>-12.908163265306122</x:v>
      </x:c>
      <x:c r="Q15" t="str">
        <x:v>In stock</x:v>
      </x:c>
      <x:c r="R15" t="n">
        <x:v>258</x:v>
      </x:c>
      <x:c r="S15" t="str">
        <x:v>259, 260, 261</x:v>
      </x:c>
      <x:c r="T15" t="str">
        <x:v>Own website</x:v>
      </x:c>
      <x:c r="U15" t="str">
        <x:v>Quick-commerce app</x:v>
      </x:c>
      <x:c r="V15" t="str">
        <x:v>Marketplace</x:v>
      </x:c>
    </x:row>
    <x:row r="16" ht="15" hidden="0" customHeight="1">
      <x:c r="A16" t="str">
        <x:v>OBS-049</x:v>
      </x:c>
      <x:c r="B16" s="70" t="n">
        <x:v>45950</x:v>
      </x:c>
      <x:c r="C16" t="str">
        <x:v>Fashion</x:v>
      </x:c>
      <x:c r="D16" t="str">
        <x:v>Running Shoes</x:v>
      </x:c>
      <x:c r="E16" t="str">
        <x:v>Quick-commerce app</x:v>
      </x:c>
      <x:c r="F16" s="72" t="n">
        <x:v>2973</x:v>
      </x:c>
      <x:c r="G16" s="72" t="n">
        <x:v>2946</x:v>
      </x:c>
      <x:c r="H16" s="72" t="n">
        <x:v>2465</x:v>
      </x:c>
      <x:c r="I16" s="72" t="n">
        <x:v>2359</x:v>
      </x:c>
      <x:c r="J16" s="72" t="n">
        <x:f>AVERAGE(G16:I16)</x:f>
        <x:v>2590</x:v>
      </x:c>
      <x:c r="K16" s="72" t="n">
        <x:f>F16-J16</x:f>
        <x:v>383</x:v>
      </x:c>
      <x:c r="L16" s="53" t="n">
        <x:f>IFERROR(K16/J16*100,0)</x:f>
        <x:v>14.787644787644789</x:v>
      </x:c>
      <x:c r="M16" t="str">
        <x:f>IF(L16&gt;0,"Overpriced",IF(L16&lt;0,"Underpriced","At benchmark"))</x:f>
        <x:v>Overpriced</x:v>
      </x:c>
      <x:c r="N16" t="n">
        <x:v>0</x:v>
      </x:c>
      <x:c r="O16"/>
      <x:c r="P16" s="53" t="str">
        <x:f>IFERROR((F16-O16)/O16*100,"")</x:f>
      </x:c>
      <x:c r="Q16" t="str">
        <x:v>Low stock</x:v>
      </x:c>
      <x:c r="R16" t="n">
        <x:v>194</x:v>
      </x:c>
      <x:c r="S16" t="str">
        <x:v>195, 196, 197</x:v>
      </x:c>
      <x:c r="T16" t="str">
        <x:v>Marketplace</x:v>
      </x:c>
      <x:c r="U16" t="str">
        <x:v>Marketplace</x:v>
      </x:c>
      <x:c r="V16" t="str">
        <x:v>Marketplace</x:v>
      </x:c>
    </x:row>
    <x:row r="17" ht="15" hidden="0" customHeight="1">
      <x:c r="A17" t="str">
        <x:v>OBS-077</x:v>
      </x:c>
      <x:c r="B17" s="70" t="n">
        <x:v>45950</x:v>
      </x:c>
      <x:c r="C17" t="str">
        <x:v>Home &amp; Kitchen</x:v>
      </x:c>
      <x:c r="D17" t="str">
        <x:v>Steel Water Bottle</x:v>
      </x:c>
      <x:c r="E17" t="str">
        <x:v>Quick-commerce app</x:v>
      </x:c>
      <x:c r="F17" s="72" t="n">
        <x:v>779</x:v>
      </x:c>
      <x:c r="G17" s="72" t="n">
        <x:v>900</x:v>
      </x:c>
      <x:c r="H17" s="72" t="n">
        <x:v>862</x:v>
      </x:c>
      <x:c r="I17" s="72" t="n">
        <x:v>743</x:v>
      </x:c>
      <x:c r="J17" s="72" t="n">
        <x:f>AVERAGE(G17:I17)</x:f>
        <x:v>835</x:v>
      </x:c>
      <x:c r="K17" s="72" t="n">
        <x:f>F17-J17</x:f>
        <x:v>-56</x:v>
      </x:c>
      <x:c r="L17" s="53" t="n">
        <x:f>IFERROR(K17/J17*100,0)</x:f>
        <x:v>-6.706586826347305</x:v>
      </x:c>
      <x:c r="M17" t="str">
        <x:f>IF(L17&gt;0,"Overpriced",IF(L17&lt;0,"Underpriced","At benchmark"))</x:f>
        <x:v>Underpriced</x:v>
      </x:c>
      <x:c r="N17" t="n">
        <x:v>1</x:v>
      </x:c>
      <x:c r="O17" t="n">
        <x:v>900</x:v>
      </x:c>
      <x:c r="P17" s="53" t="n">
        <x:f>IFERROR((F17-O17)/O17*100,"")</x:f>
        <x:v>-13.444444444444445</x:v>
      </x:c>
      <x:c r="Q17" t="str">
        <x:v>Low stock</x:v>
      </x:c>
      <x:c r="R17" t="n">
        <x:v>306</x:v>
      </x:c>
      <x:c r="S17" t="str">
        <x:v>307, 308, 309</x:v>
      </x:c>
      <x:c r="T17" t="str">
        <x:v>Quick-commerce app</x:v>
      </x:c>
      <x:c r="U17" t="str">
        <x:v>Own website</x:v>
      </x:c>
      <x:c r="V17" t="str">
        <x:v>Marketplace</x:v>
      </x:c>
    </x:row>
    <x:row r="18" ht="15" hidden="0" customHeight="1">
      <x:c r="A18" t="str">
        <x:v>OBS-060</x:v>
      </x:c>
      <x:c r="B18" s="70" t="n">
        <x:v>45957</x:v>
      </x:c>
      <x:c r="C18" t="str">
        <x:v>Beauty</x:v>
      </x:c>
      <x:c r="D18" t="str">
        <x:v>Face Serum</x:v>
      </x:c>
      <x:c r="E18" t="str">
        <x:v>Own website</x:v>
      </x:c>
      <x:c r="F18" s="72" t="n">
        <x:v>824</x:v>
      </x:c>
      <x:c r="G18" s="72" t="n">
        <x:v>1004</x:v>
      </x:c>
      <x:c r="H18" s="72" t="n">
        <x:v>914</x:v>
      </x:c>
      <x:c r="I18" s="72" t="n">
        <x:v>923</x:v>
      </x:c>
      <x:c r="J18" s="72" t="n">
        <x:f>AVERAGE(G18:I18)</x:f>
        <x:v>947</x:v>
      </x:c>
      <x:c r="K18" s="72" t="n">
        <x:f>F18-J18</x:f>
        <x:v>-123</x:v>
      </x:c>
      <x:c r="L18" s="53" t="n">
        <x:f>IFERROR(K18/J18*100,0)</x:f>
        <x:v>-12.988384371700107</x:v>
      </x:c>
      <x:c r="M18" t="str">
        <x:f>IF(L18&gt;0,"Overpriced",IF(L18&lt;0,"Underpriced","At benchmark"))</x:f>
        <x:v>Underpriced</x:v>
      </x:c>
      <x:c r="N18" t="n">
        <x:v>0</x:v>
      </x:c>
      <x:c r="O18"/>
      <x:c r="P18" s="53" t="str">
        <x:f>IFERROR((F18-O18)/O18*100,"")</x:f>
      </x:c>
      <x:c r="Q18" t="str">
        <x:v>Low stock</x:v>
      </x:c>
      <x:c r="R18" t="n">
        <x:v>238</x:v>
      </x:c>
      <x:c r="S18" t="str">
        <x:v>239, 240, 241</x:v>
      </x:c>
      <x:c r="T18" t="str">
        <x:v>Marketplace</x:v>
      </x:c>
      <x:c r="U18" t="str">
        <x:v>Marketplace</x:v>
      </x:c>
      <x:c r="V18" t="str">
        <x:v>Marketplace</x:v>
      </x:c>
    </x:row>
    <x:row r="19" ht="15" hidden="0" customHeight="1">
      <x:c r="A19" t="str">
        <x:v>OBS-062</x:v>
      </x:c>
      <x:c r="B19" s="70" t="n">
        <x:v>45957</x:v>
      </x:c>
      <x:c r="C19" t="str">
        <x:v>Beauty</x:v>
      </x:c>
      <x:c r="D19" t="str">
        <x:v>Hair Oil</x:v>
      </x:c>
      <x:c r="E19" t="str">
        <x:v>Own website</x:v>
      </x:c>
      <x:c r="F19" s="72" t="n">
        <x:v>237</x:v>
      </x:c>
      <x:c r="G19" s="72" t="n">
        <x:v>212</x:v>
      </x:c>
      <x:c r="H19" s="72" t="n">
        <x:v>209</x:v>
      </x:c>
      <x:c r="I19" s="72" t="n">
        <x:v>256</x:v>
      </x:c>
      <x:c r="J19" s="72" t="n">
        <x:f>AVERAGE(G19:I19)</x:f>
        <x:v>225.66666666666666</x:v>
      </x:c>
      <x:c r="K19" s="72" t="n">
        <x:f>F19-J19</x:f>
        <x:v>11.333333333333343</x:v>
      </x:c>
      <x:c r="L19" s="53" t="n">
        <x:f>IFERROR(K19/J19*100,0)</x:f>
        <x:v>5.022156573116695</x:v>
      </x:c>
      <x:c r="M19" t="str">
        <x:f>IF(L19&gt;0,"Overpriced",IF(L19&lt;0,"Underpriced","At benchmark"))</x:f>
        <x:v>Overpriced</x:v>
      </x:c>
      <x:c r="N19" t="n">
        <x:v>2</x:v>
      </x:c>
      <x:c r="O19" t="n">
        <x:v>210.5</x:v>
      </x:c>
      <x:c r="P19" s="53" t="n">
        <x:f>IFERROR((F19-O19)/O19*100,"")</x:f>
        <x:v>12.589073634204276</x:v>
      </x:c>
      <x:c r="Q19" t="str">
        <x:v>Low stock</x:v>
      </x:c>
      <x:c r="R19" t="n">
        <x:v>246</x:v>
      </x:c>
      <x:c r="S19" t="str">
        <x:v>247, 248, 249</x:v>
      </x:c>
      <x:c r="T19" t="str">
        <x:v>Own website</x:v>
      </x:c>
      <x:c r="U19" t="str">
        <x:v>Own website</x:v>
      </x:c>
      <x:c r="V19" t="str">
        <x:v>Quick-commerce app</x:v>
      </x:c>
    </x:row>
    <x:row r="20" ht="15" hidden="0" customHeight="1">
      <x:c r="A20" t="str">
        <x:v>OBS-058</x:v>
      </x:c>
      <x:c r="B20" s="70" t="n">
        <x:v>45957</x:v>
      </x:c>
      <x:c r="C20" t="str">
        <x:v>Grocery</x:v>
      </x:c>
      <x:c r="D20" t="str">
        <x:v>Organic Jaggery 1kg</x:v>
      </x:c>
      <x:c r="E20" t="str">
        <x:v>Marketplace</x:v>
      </x:c>
      <x:c r="F20" s="72" t="n">
        <x:v>246</x:v>
      </x:c>
      <x:c r="G20" s="72" t="n">
        <x:v>227</x:v>
      </x:c>
      <x:c r="H20" s="72" t="n">
        <x:v>219</x:v>
      </x:c>
      <x:c r="I20" s="72" t="n">
        <x:v>225</x:v>
      </x:c>
      <x:c r="J20" s="72" t="n">
        <x:f>AVERAGE(G20:I20)</x:f>
        <x:v>223.66666666666666</x:v>
      </x:c>
      <x:c r="K20" s="72" t="n">
        <x:f>F20-J20</x:f>
        <x:v>22.333333333333343</x:v>
      </x:c>
      <x:c r="L20" s="53" t="n">
        <x:f>IFERROR(K20/J20*100,0)</x:f>
        <x:v>9.985096870342778</x:v>
      </x:c>
      <x:c r="M20" t="str">
        <x:f>IF(L20&gt;0,"Overpriced",IF(L20&lt;0,"Underpriced","At benchmark"))</x:f>
        <x:v>Overpriced</x:v>
      </x:c>
      <x:c r="N20" t="n">
        <x:v>1</x:v>
      </x:c>
      <x:c r="O20" t="n">
        <x:v>225</x:v>
      </x:c>
      <x:c r="P20" s="53" t="n">
        <x:f>IFERROR((F20-O20)/O20*100,"")</x:f>
        <x:v>9.333333333333334</x:v>
      </x:c>
      <x:c r="Q20" t="str">
        <x:v>Low stock</x:v>
      </x:c>
      <x:c r="R20" t="n">
        <x:v>230</x:v>
      </x:c>
      <x:c r="S20" t="str">
        <x:v>231, 232, 233</x:v>
      </x:c>
      <x:c r="T20" t="str">
        <x:v>Quick-commerce app</x:v>
      </x:c>
      <x:c r="U20" t="str">
        <x:v>Own website</x:v>
      </x:c>
      <x:c r="V20" t="str">
        <x:v>Marketplace</x:v>
      </x:c>
    </x:row>
    <x:row r="21" ht="15" hidden="0" customHeight="1">
      <x:c r="A21" t="str">
        <x:v>OBS-024</x:v>
      </x:c>
      <x:c r="B21" s="70" t="n">
        <x:v>45964</x:v>
      </x:c>
      <x:c r="C21" t="str">
        <x:v>Grocery</x:v>
      </x:c>
      <x:c r="D21" t="str">
        <x:v>Cold-pressed Oil 1L</x:v>
      </x:c>
      <x:c r="E21" t="str">
        <x:v>Quick-commerce app</x:v>
      </x:c>
      <x:c r="F21" s="72" t="n">
        <x:v>290</x:v>
      </x:c>
      <x:c r="G21" s="72" t="n">
        <x:v>281</x:v>
      </x:c>
      <x:c r="H21" s="72" t="n">
        <x:v>299</x:v>
      </x:c>
      <x:c r="I21" s="72" t="n">
        <x:v>273</x:v>
      </x:c>
      <x:c r="J21" s="72" t="n">
        <x:f>AVERAGE(G21:I21)</x:f>
        <x:v>284.3333333333333</x:v>
      </x:c>
      <x:c r="K21" s="72" t="n">
        <x:f>F21-J21</x:f>
        <x:v>5.666666666666686</x:v>
      </x:c>
      <x:c r="L21" s="53" t="n">
        <x:f>IFERROR(K21/J21*100,0)</x:f>
        <x:v>1.9929660023446725</x:v>
      </x:c>
      <x:c r="M21" t="str">
        <x:f>IF(L21&gt;0,"Overpriced",IF(L21&lt;0,"Underpriced","At benchmark"))</x:f>
        <x:v>Overpriced</x:v>
      </x:c>
      <x:c r="N21" t="n">
        <x:v>0</x:v>
      </x:c>
      <x:c r="O21"/>
      <x:c r="P21" s="53" t="str">
        <x:f>IFERROR((F21-O21)/O21*100,"")</x:f>
      </x:c>
      <x:c r="Q21" t="str">
        <x:v>In stock</x:v>
      </x:c>
      <x:c r="R21" t="n">
        <x:v>94</x:v>
      </x:c>
      <x:c r="S21" t="str">
        <x:v>95, 96, 97</x:v>
      </x:c>
      <x:c r="T21" t="str">
        <x:v>Marketplace</x:v>
      </x:c>
      <x:c r="U21" t="str">
        <x:v>Marketplace</x:v>
      </x:c>
      <x:c r="V21" t="str">
        <x:v>Own website</x:v>
      </x:c>
    </x:row>
    <x:row r="22" ht="15" hidden="0" customHeight="1">
      <x:c r="A22" t="str">
        <x:v>OBS-035</x:v>
      </x:c>
      <x:c r="B22" s="70" t="n">
        <x:v>45964</x:v>
      </x:c>
      <x:c r="C22" t="str">
        <x:v>Home &amp; Kitchen</x:v>
      </x:c>
      <x:c r="D22" t="str">
        <x:v>Steel Water Bottle</x:v>
      </x:c>
      <x:c r="E22" t="str">
        <x:v>Marketplace</x:v>
      </x:c>
      <x:c r="F22" s="72" t="n">
        <x:v>526</x:v>
      </x:c>
      <x:c r="G22" s="72" t="n">
        <x:v>488</x:v>
      </x:c>
      <x:c r="H22" s="72" t="n">
        <x:v>479</x:v>
      </x:c>
      <x:c r="I22" s="72" t="n">
        <x:v>509</x:v>
      </x:c>
      <x:c r="J22" s="72" t="n">
        <x:f>AVERAGE(G22:I22)</x:f>
        <x:v>492</x:v>
      </x:c>
      <x:c r="K22" s="72" t="n">
        <x:f>F22-J22</x:f>
        <x:v>34</x:v>
      </x:c>
      <x:c r="L22" s="53" t="n">
        <x:f>IFERROR(K22/J22*100,0)</x:f>
        <x:v>6.910569105691057</x:v>
      </x:c>
      <x:c r="M22" t="str">
        <x:f>IF(L22&gt;0,"Overpriced",IF(L22&lt;0,"Underpriced","At benchmark"))</x:f>
        <x:v>Overpriced</x:v>
      </x:c>
      <x:c r="N22" t="n">
        <x:v>0</x:v>
      </x:c>
      <x:c r="O22"/>
      <x:c r="P22" s="53" t="str">
        <x:f>IFERROR((F22-O22)/O22*100,"")</x:f>
      </x:c>
      <x:c r="Q22" t="str">
        <x:v>Out of stock</x:v>
      </x:c>
      <x:c r="R22" t="n">
        <x:v>138</x:v>
      </x:c>
      <x:c r="S22" t="str">
        <x:v>139, 140, 141</x:v>
      </x:c>
      <x:c r="T22" t="str">
        <x:v>Quick-commerce app</x:v>
      </x:c>
      <x:c r="U22" t="str">
        <x:v>Own website</x:v>
      </x:c>
      <x:c r="V22" t="str">
        <x:v>Quick-commerce app</x:v>
      </x:c>
    </x:row>
    <x:row r="23" ht="15" hidden="0" customHeight="1">
      <x:c r="A23" t="str">
        <x:v>OBS-083</x:v>
      </x:c>
      <x:c r="B23" s="70" t="n">
        <x:v>45971</x:v>
      </x:c>
      <x:c r="C23" t="str">
        <x:v>Electronics</x:v>
      </x:c>
      <x:c r="D23" t="str">
        <x:v>USB-C Charger 65W</x:v>
      </x:c>
      <x:c r="E23" t="str">
        <x:v>Marketplace</x:v>
      </x:c>
      <x:c r="F23" s="72" t="n">
        <x:v>1184</x:v>
      </x:c>
      <x:c r="G23" s="72" t="n">
        <x:v>1249</x:v>
      </x:c>
      <x:c r="H23" s="72" t="n">
        <x:v>1416</x:v>
      </x:c>
      <x:c r="I23" s="72" t="n">
        <x:v>1301</x:v>
      </x:c>
      <x:c r="J23" s="72" t="n">
        <x:f>AVERAGE(G23:I23)</x:f>
        <x:v>1322</x:v>
      </x:c>
      <x:c r="K23" s="72" t="n">
        <x:f>F23-J23</x:f>
        <x:v>-138</x:v>
      </x:c>
      <x:c r="L23" s="53" t="n">
        <x:f>IFERROR(K23/J23*100,0)</x:f>
        <x:v>-10.43872919818457</x:v>
      </x:c>
      <x:c r="M23" t="str">
        <x:f>IF(L23&gt;0,"Overpriced",IF(L23&lt;0,"Underpriced","At benchmark"))</x:f>
        <x:v>Underpriced</x:v>
      </x:c>
      <x:c r="N23" t="n">
        <x:v>0</x:v>
      </x:c>
      <x:c r="O23"/>
      <x:c r="P23" s="53" t="str">
        <x:f>IFERROR((F23-O23)/O23*100,"")</x:f>
      </x:c>
      <x:c r="Q23" t="str">
        <x:v>Low stock</x:v>
      </x:c>
      <x:c r="R23" t="n">
        <x:v>330</x:v>
      </x:c>
      <x:c r="S23" t="str">
        <x:v>331, 332, 333</x:v>
      </x:c>
      <x:c r="T23" t="str">
        <x:v>Quick-commerce app</x:v>
      </x:c>
      <x:c r="U23" t="str">
        <x:v>Own website</x:v>
      </x:c>
      <x:c r="V23" t="str">
        <x:v>Quick-commerce app</x:v>
      </x:c>
    </x:row>
    <x:row r="24" ht="15" hidden="0" customHeight="1">
      <x:c r="A24" t="str">
        <x:v>OBS-039</x:v>
      </x:c>
      <x:c r="B24" s="70" t="n">
        <x:v>45971</x:v>
      </x:c>
      <x:c r="C24" t="str">
        <x:v>Grocery</x:v>
      </x:c>
      <x:c r="D24" t="str">
        <x:v>Cold-pressed Oil 1L</x:v>
      </x:c>
      <x:c r="E24" t="str">
        <x:v>Own website</x:v>
      </x:c>
      <x:c r="F24" s="72" t="n">
        <x:v>302</x:v>
      </x:c>
      <x:c r="G24" s="72" t="n">
        <x:v>295</x:v>
      </x:c>
      <x:c r="H24" s="72" t="n">
        <x:v>301</x:v>
      </x:c>
      <x:c r="I24" s="72" t="n">
        <x:v>288</x:v>
      </x:c>
      <x:c r="J24" s="72" t="n">
        <x:f>AVERAGE(G24:I24)</x:f>
        <x:v>294.6666666666667</x:v>
      </x:c>
      <x:c r="K24" s="72" t="n">
        <x:f>F24-J24</x:f>
        <x:v>7.333333333333314</x:v>
      </x:c>
      <x:c r="L24" s="53" t="n">
        <x:f>IFERROR(K24/J24*100,0)</x:f>
        <x:v>2.4886877828054232</x:v>
      </x:c>
      <x:c r="M24" t="str">
        <x:f>IF(L24&gt;0,"Overpriced",IF(L24&lt;0,"Underpriced","At benchmark"))</x:f>
        <x:v>Overpriced</x:v>
      </x:c>
      <x:c r="N24" t="n">
        <x:v>1</x:v>
      </x:c>
      <x:c r="O24" t="n">
        <x:v>288</x:v>
      </x:c>
      <x:c r="P24" s="53" t="n">
        <x:f>IFERROR((F24-O24)/O24*100,"")</x:f>
        <x:v>4.861111111111112</x:v>
      </x:c>
      <x:c r="Q24" t="str">
        <x:v>Out of stock</x:v>
      </x:c>
      <x:c r="R24" t="n">
        <x:v>154</x:v>
      </x:c>
      <x:c r="S24" t="str">
        <x:v>155, 156, 157</x:v>
      </x:c>
      <x:c r="T24" t="str">
        <x:v>Quick-commerce app</x:v>
      </x:c>
      <x:c r="U24" t="str">
        <x:v>Marketplace</x:v>
      </x:c>
      <x:c r="V24" t="str">
        <x:v>Own website</x:v>
      </x:c>
    </x:row>
    <x:row r="25" ht="15" hidden="0" customHeight="1">
      <x:c r="A25" t="str">
        <x:v>OBS-056</x:v>
      </x:c>
      <x:c r="B25" s="70" t="n">
        <x:v>45971</x:v>
      </x:c>
      <x:c r="C25" t="str">
        <x:v>Grocery</x:v>
      </x:c>
      <x:c r="D25" t="str">
        <x:v>Green Tea 100 bags</x:v>
      </x:c>
      <x:c r="E25" t="str">
        <x:v>Marketplace</x:v>
      </x:c>
      <x:c r="F25" s="72" t="n">
        <x:v>344</x:v>
      </x:c>
      <x:c r="G25" s="72" t="n">
        <x:v>311</x:v>
      </x:c>
      <x:c r="H25" s="72" t="n">
        <x:v>370</x:v>
      </x:c>
      <x:c r="I25" s="72" t="n">
        <x:v>340</x:v>
      </x:c>
      <x:c r="J25" s="72" t="n">
        <x:f>AVERAGE(G25:I25)</x:f>
        <x:v>340.3333333333333</x:v>
      </x:c>
      <x:c r="K25" s="72" t="n">
        <x:f>F25-J25</x:f>
        <x:v>3.6666666666666856</x:v>
      </x:c>
      <x:c r="L25" s="53" t="n">
        <x:f>IFERROR(K25/J25*100,0)</x:f>
        <x:v>1.077375122428997</x:v>
      </x:c>
      <x:c r="M25" t="str">
        <x:f>IF(L25&gt;0,"Overpriced",IF(L25&lt;0,"Underpriced","At benchmark"))</x:f>
        <x:v>Overpriced</x:v>
      </x:c>
      <x:c r="N25" t="n">
        <x:v>0</x:v>
      </x:c>
      <x:c r="O25"/>
      <x:c r="P25" s="53" t="str">
        <x:f>IFERROR((F25-O25)/O25*100,"")</x:f>
      </x:c>
      <x:c r="Q25" t="str">
        <x:v>In stock</x:v>
      </x:c>
      <x:c r="R25" t="n">
        <x:v>222</x:v>
      </x:c>
      <x:c r="S25" t="str">
        <x:v>223, 224, 225</x:v>
      </x:c>
      <x:c r="T25" t="str">
        <x:v>Quick-commerce app</x:v>
      </x:c>
      <x:c r="U25" t="str">
        <x:v>Own website</x:v>
      </x:c>
      <x:c r="V25" t="str">
        <x:v>Own website</x:v>
      </x:c>
    </x:row>
    <x:row r="26" ht="15" hidden="0" customHeight="1">
      <x:c r="A26" t="str">
        <x:v>OBS-002</x:v>
      </x:c>
      <x:c r="B26" s="70" t="n">
        <x:v>45971</x:v>
      </x:c>
      <x:c r="C26" t="str">
        <x:v>Home &amp; Kitchen</x:v>
      </x:c>
      <x:c r="D26" t="str">
        <x:v>Steel Water Bottle</x:v>
      </x:c>
      <x:c r="E26" t="str">
        <x:v>Quick-commerce app</x:v>
      </x:c>
      <x:c r="F26" s="72" t="n">
        <x:v>311</x:v>
      </x:c>
      <x:c r="G26" s="72" t="n">
        <x:v>342</x:v>
      </x:c>
      <x:c r="H26" s="72" t="n">
        <x:v>336</x:v>
      </x:c>
      <x:c r="I26" s="72" t="n">
        <x:v>342</x:v>
      </x:c>
      <x:c r="J26" s="72" t="n">
        <x:f>AVERAGE(G26:I26)</x:f>
        <x:v>340</x:v>
      </x:c>
      <x:c r="K26" s="72" t="n">
        <x:f>F26-J26</x:f>
        <x:v>-29</x:v>
      </x:c>
      <x:c r="L26" s="53" t="n">
        <x:f>IFERROR(K26/J26*100,0)</x:f>
        <x:v>-8.529411764705882</x:v>
      </x:c>
      <x:c r="M26" t="str">
        <x:f>IF(L26&gt;0,"Overpriced",IF(L26&lt;0,"Underpriced","At benchmark"))</x:f>
        <x:v>Underpriced</x:v>
      </x:c>
      <x:c r="N26" t="n">
        <x:v>0</x:v>
      </x:c>
      <x:c r="O26"/>
      <x:c r="P26" s="53" t="str">
        <x:f>IFERROR((F26-O26)/O26*100,"")</x:f>
      </x:c>
      <x:c r="Q26" t="str">
        <x:v>In stock</x:v>
      </x:c>
      <x:c r="R26" t="n">
        <x:v>6</x:v>
      </x:c>
      <x:c r="S26" t="str">
        <x:v>7, 8, 9</x:v>
      </x:c>
      <x:c r="T26" t="str">
        <x:v>Marketplace</x:v>
      </x:c>
      <x:c r="U26" t="str">
        <x:v>Own website</x:v>
      </x:c>
      <x:c r="V26" t="str">
        <x:v>Marketplace</x:v>
      </x:c>
    </x:row>
    <x:row r="27" ht="15" hidden="0" customHeight="1">
      <x:c r="A27" t="str">
        <x:v>OBS-018</x:v>
      </x:c>
      <x:c r="B27" s="70" t="n">
        <x:v>45978</x:v>
      </x:c>
      <x:c r="C27" t="str">
        <x:v>Beauty</x:v>
      </x:c>
      <x:c r="D27" t="str">
        <x:v>Beard Trimmer</x:v>
      </x:c>
      <x:c r="E27" t="str">
        <x:v>Marketplace</x:v>
      </x:c>
      <x:c r="F27" s="72" t="n">
        <x:v>1230</x:v>
      </x:c>
      <x:c r="G27" s="72" t="n">
        <x:v>1274</x:v>
      </x:c>
      <x:c r="H27" s="72" t="n">
        <x:v>1534</x:v>
      </x:c>
      <x:c r="I27" s="72" t="n">
        <x:v>1400</x:v>
      </x:c>
      <x:c r="J27" s="72" t="n">
        <x:f>AVERAGE(G27:I27)</x:f>
        <x:v>1402.6666666666667</x:v>
      </x:c>
      <x:c r="K27" s="72" t="n">
        <x:f>F27-J27</x:f>
        <x:v>-172.66666666666674</x:v>
      </x:c>
      <x:c r="L27" s="53" t="n">
        <x:f>IFERROR(K27/J27*100,0)</x:f>
        <x:v>-12.309885931558942</x:v>
      </x:c>
      <x:c r="M27" t="str">
        <x:f>IF(L27&gt;0,"Overpriced",IF(L27&lt;0,"Underpriced","At benchmark"))</x:f>
        <x:v>Underpriced</x:v>
      </x:c>
      <x:c r="N27" t="n">
        <x:v>2</x:v>
      </x:c>
      <x:c r="O27" t="n">
        <x:v>1467</x:v>
      </x:c>
      <x:c r="P27" s="53" t="n">
        <x:f>IFERROR((F27-O27)/O27*100,"")</x:f>
        <x:v>-16.155419222903884</x:v>
      </x:c>
      <x:c r="Q27" t="str">
        <x:v>Out of stock</x:v>
      </x:c>
      <x:c r="R27" t="n">
        <x:v>70</x:v>
      </x:c>
      <x:c r="S27" t="str">
        <x:v>71, 72, 73</x:v>
      </x:c>
      <x:c r="T27" t="str">
        <x:v>Quick-commerce app</x:v>
      </x:c>
      <x:c r="U27" t="str">
        <x:v>Marketplace</x:v>
      </x:c>
      <x:c r="V27" t="str">
        <x:v>Marketplace</x:v>
      </x:c>
    </x:row>
    <x:row r="28" ht="15" hidden="0" customHeight="1">
      <x:c r="A28" t="str">
        <x:v>OBS-087</x:v>
      </x:c>
      <x:c r="B28" s="70" t="n">
        <x:v>45978</x:v>
      </x:c>
      <x:c r="C28" t="str">
        <x:v>Beauty</x:v>
      </x:c>
      <x:c r="D28" t="str">
        <x:v>Lipstick</x:v>
      </x:c>
      <x:c r="E28" t="str">
        <x:v>Quick-commerce app</x:v>
      </x:c>
      <x:c r="F28" s="72" t="n">
        <x:v>327</x:v>
      </x:c>
      <x:c r="G28" s="72" t="n">
        <x:v>326</x:v>
      </x:c>
      <x:c r="H28" s="72" t="n">
        <x:v>397</x:v>
      </x:c>
      <x:c r="I28" s="72" t="n">
        <x:v>352</x:v>
      </x:c>
      <x:c r="J28" s="72" t="n">
        <x:f>AVERAGE(G28:I28)</x:f>
        <x:v>358.3333333333333</x:v>
      </x:c>
      <x:c r="K28" s="72" t="n">
        <x:f>F28-J28</x:f>
        <x:v>-31.333333333333314</x:v>
      </x:c>
      <x:c r="L28" s="53" t="n">
        <x:f>IFERROR(K28/J28*100,0)</x:f>
        <x:v>-8.744186046511624</x:v>
      </x:c>
      <x:c r="M28" t="str">
        <x:f>IF(L28&gt;0,"Overpriced",IF(L28&lt;0,"Underpriced","At benchmark"))</x:f>
        <x:v>Underpriced</x:v>
      </x:c>
      <x:c r="N28" t="n">
        <x:v>2</x:v>
      </x:c>
      <x:c r="O28" t="n">
        <x:v>339</x:v>
      </x:c>
      <x:c r="P28" s="53" t="n">
        <x:f>IFERROR((F28-O28)/O28*100,"")</x:f>
        <x:v>-3.5398230088495577</x:v>
      </x:c>
      <x:c r="Q28" t="str">
        <x:v>Out of stock</x:v>
      </x:c>
      <x:c r="R28" t="n">
        <x:v>346</x:v>
      </x:c>
      <x:c r="S28" t="str">
        <x:v>347, 348, 349</x:v>
      </x:c>
      <x:c r="T28" t="str">
        <x:v>Quick-commerce app</x:v>
      </x:c>
      <x:c r="U28" t="str">
        <x:v>Own website</x:v>
      </x:c>
      <x:c r="V28" t="str">
        <x:v>Quick-commerce app</x:v>
      </x:c>
    </x:row>
    <x:row r="29" ht="15" hidden="0" customHeight="1">
      <x:c r="A29" t="str">
        <x:v>OBS-045</x:v>
      </x:c>
      <x:c r="B29" s="70" t="n">
        <x:v>45978</x:v>
      </x:c>
      <x:c r="C29" t="str">
        <x:v>Electronics</x:v>
      </x:c>
      <x:c r="D29" t="str">
        <x:v>Bluetooth Speaker</x:v>
      </x:c>
      <x:c r="E29" t="str">
        <x:v>Quick-commerce app</x:v>
      </x:c>
      <x:c r="F29" s="72" t="n">
        <x:v>4658</x:v>
      </x:c>
      <x:c r="G29" s="72" t="n">
        <x:v>3762</x:v>
      </x:c>
      <x:c r="H29" s="72" t="n">
        <x:v>3645</x:v>
      </x:c>
      <x:c r="I29" s="72" t="n">
        <x:v>4432</x:v>
      </x:c>
      <x:c r="J29" s="72" t="n">
        <x:f>AVERAGE(G29:I29)</x:f>
        <x:v>3946.3333333333335</x:v>
      </x:c>
      <x:c r="K29" s="72" t="n">
        <x:f>F29-J29</x:f>
        <x:v>711.6666666666665</x:v>
      </x:c>
      <x:c r="L29" s="53" t="n">
        <x:f>IFERROR(K29/J29*100,0)</x:f>
        <x:v>18.033617704197987</x:v>
      </x:c>
      <x:c r="M29" t="str">
        <x:f>IF(L29&gt;0,"Overpriced",IF(L29&lt;0,"Underpriced","At benchmark"))</x:f>
        <x:v>Overpriced</x:v>
      </x:c>
      <x:c r="N29" t="n">
        <x:v>1</x:v>
      </x:c>
      <x:c r="O29" t="n">
        <x:v>3645</x:v>
      </x:c>
      <x:c r="P29" s="53" t="n">
        <x:f>IFERROR((F29-O29)/O29*100,"")</x:f>
        <x:v>27.791495198902606</x:v>
      </x:c>
      <x:c r="Q29" t="str">
        <x:v>Low stock</x:v>
      </x:c>
      <x:c r="R29" t="n">
        <x:v>178</x:v>
      </x:c>
      <x:c r="S29" t="str">
        <x:v>179, 180, 181</x:v>
      </x:c>
      <x:c r="T29" t="str">
        <x:v>Marketplace</x:v>
      </x:c>
      <x:c r="U29" t="str">
        <x:v>Quick-commerce app</x:v>
      </x:c>
      <x:c r="V29" t="str">
        <x:v>Marketplace</x:v>
      </x:c>
    </x:row>
    <x:row r="30" ht="15" hidden="0" customHeight="1">
      <x:c r="A30" t="str">
        <x:v>OBS-041</x:v>
      </x:c>
      <x:c r="B30" s="70" t="n">
        <x:v>45978</x:v>
      </x:c>
      <x:c r="C30" t="str">
        <x:v>Fashion</x:v>
      </x:c>
      <x:c r="D30" t="str">
        <x:v>Denim Jeans</x:v>
      </x:c>
      <x:c r="E30" t="str">
        <x:v>Marketplace</x:v>
      </x:c>
      <x:c r="F30" s="72" t="n">
        <x:v>1680</x:v>
      </x:c>
      <x:c r="G30" s="72" t="n">
        <x:v>1595</x:v>
      </x:c>
      <x:c r="H30" s="72" t="n">
        <x:v>1879</x:v>
      </x:c>
      <x:c r="I30" s="72" t="n">
        <x:v>1948</x:v>
      </x:c>
      <x:c r="J30" s="72" t="n">
        <x:f>AVERAGE(G30:I30)</x:f>
        <x:v>1807.3333333333333</x:v>
      </x:c>
      <x:c r="K30" s="72" t="n">
        <x:f>F30-J30</x:f>
        <x:v>-127.33333333333326</x:v>
      </x:c>
      <x:c r="L30" s="53" t="n">
        <x:f>IFERROR(K30/J30*100,0)</x:f>
        <x:v>-7.045370711914418</x:v>
      </x:c>
      <x:c r="M30" t="str">
        <x:f>IF(L30&gt;0,"Overpriced",IF(L30&lt;0,"Underpriced","At benchmark"))</x:f>
        <x:v>Underpriced</x:v>
      </x:c>
      <x:c r="N30" t="n">
        <x:v>1</x:v>
      </x:c>
      <x:c r="O30" t="n">
        <x:v>1595</x:v>
      </x:c>
      <x:c r="P30" s="53" t="n">
        <x:f>IFERROR((F30-O30)/O30*100,"")</x:f>
        <x:v>5.329153605015674</x:v>
      </x:c>
      <x:c r="Q30" t="str">
        <x:v>In stock</x:v>
      </x:c>
      <x:c r="R30" t="n">
        <x:v>162</x:v>
      </x:c>
      <x:c r="S30" t="str">
        <x:v>163, 164, 165</x:v>
      </x:c>
      <x:c r="T30" t="str">
        <x:v>Marketplace</x:v>
      </x:c>
      <x:c r="U30" t="str">
        <x:v>Own website</x:v>
      </x:c>
      <x:c r="V30" t="str">
        <x:v>Quick-commerce app</x:v>
      </x:c>
    </x:row>
    <x:row r="31" ht="15" hidden="0" customHeight="1">
      <x:c r="A31" t="str">
        <x:v>OBS-078</x:v>
      </x:c>
      <x:c r="B31" s="70" t="n">
        <x:v>45978</x:v>
      </x:c>
      <x:c r="C31" t="str">
        <x:v>Fashion</x:v>
      </x:c>
      <x:c r="D31" t="str">
        <x:v>Saree</x:v>
      </x:c>
      <x:c r="E31" t="str">
        <x:v>Own website</x:v>
      </x:c>
      <x:c r="F31" s="72" t="n">
        <x:v>1892</x:v>
      </x:c>
      <x:c r="G31" s="72" t="n">
        <x:v>1939</x:v>
      </x:c>
      <x:c r="H31" s="72" t="n">
        <x:v>2253</x:v>
      </x:c>
      <x:c r="I31" s="72" t="n">
        <x:v>2146</x:v>
      </x:c>
      <x:c r="J31" s="72" t="n">
        <x:f>AVERAGE(G31:I31)</x:f>
        <x:v>2112.6666666666665</x:v>
      </x:c>
      <x:c r="K31" s="72" t="n">
        <x:f>F31-J31</x:f>
        <x:v>-220.66666666666652</x:v>
      </x:c>
      <x:c r="L31" s="53" t="n">
        <x:f>IFERROR(K31/J31*100,0)</x:f>
        <x:v>-10.444935310823597</x:v>
      </x:c>
      <x:c r="M31" t="str">
        <x:f>IF(L31&gt;0,"Overpriced",IF(L31&lt;0,"Underpriced","At benchmark"))</x:f>
        <x:v>Underpriced</x:v>
      </x:c>
      <x:c r="N31" t="n">
        <x:v>1</x:v>
      </x:c>
      <x:c r="O31" t="n">
        <x:v>2253</x:v>
      </x:c>
      <x:c r="P31" s="53" t="n">
        <x:f>IFERROR((F31-O31)/O31*100,"")</x:f>
        <x:v>-16.023080337328008</x:v>
      </x:c>
      <x:c r="Q31" t="str">
        <x:v>In stock</x:v>
      </x:c>
      <x:c r="R31" t="n">
        <x:v>310</x:v>
      </x:c>
      <x:c r="S31" t="str">
        <x:v>311, 312, 313</x:v>
      </x:c>
      <x:c r="T31" t="str">
        <x:v>Quick-commerce app</x:v>
      </x:c>
      <x:c r="U31" t="str">
        <x:v>Own website</x:v>
      </x:c>
      <x:c r="V31" t="str">
        <x:v>Marketplace</x:v>
      </x:c>
    </x:row>
    <x:row r="32" ht="15" hidden="0" customHeight="1">
      <x:c r="A32" t="str">
        <x:v>OBS-099</x:v>
      </x:c>
      <x:c r="B32" s="70" t="n">
        <x:v>45978</x:v>
      </x:c>
      <x:c r="C32" t="str">
        <x:v>Grocery</x:v>
      </x:c>
      <x:c r="D32" t="str">
        <x:v>Basmati Rice 5kg</x:v>
      </x:c>
      <x:c r="E32" t="str">
        <x:v>Own website</x:v>
      </x:c>
      <x:c r="F32" s="72" t="n">
        <x:v>716</x:v>
      </x:c>
      <x:c r="G32" s="72" t="n">
        <x:v>738</x:v>
      </x:c>
      <x:c r="H32" s="72" t="n">
        <x:v>698</x:v>
      </x:c>
      <x:c r="I32" s="72" t="n">
        <x:v>717</x:v>
      </x:c>
      <x:c r="J32" s="72" t="n">
        <x:f>AVERAGE(G32:I32)</x:f>
        <x:v>717.6666666666666</x:v>
      </x:c>
      <x:c r="K32" s="72" t="n">
        <x:f>F32-J32</x:f>
        <x:v>-1.6666666666666288</x:v>
      </x:c>
      <x:c r="L32" s="53" t="n">
        <x:f>IFERROR(K32/J32*100,0)</x:f>
        <x:v>-0.23223409196469513</x:v>
      </x:c>
      <x:c r="M32" t="str">
        <x:f>IF(L32&gt;0,"Overpriced",IF(L32&lt;0,"Underpriced","At benchmark"))</x:f>
        <x:v>Underpriced</x:v>
      </x:c>
      <x:c r="N32" t="n">
        <x:v>0</x:v>
      </x:c>
      <x:c r="O32"/>
      <x:c r="P32" s="53" t="str">
        <x:f>IFERROR((F32-O32)/O32*100,"")</x:f>
      </x:c>
      <x:c r="Q32" t="str">
        <x:v>In stock</x:v>
      </x:c>
      <x:c r="R32" t="n">
        <x:v>394</x:v>
      </x:c>
      <x:c r="S32" t="str">
        <x:v>395, 396, 397</x:v>
      </x:c>
      <x:c r="T32" t="str">
        <x:v>Quick-commerce app</x:v>
      </x:c>
      <x:c r="U32" t="str">
        <x:v>Marketplace</x:v>
      </x:c>
      <x:c r="V32" t="str">
        <x:v>Marketplace</x:v>
      </x:c>
    </x:row>
    <x:row r="33" ht="15" hidden="0" customHeight="1">
      <x:c r="A33" t="str">
        <x:v>OBS-092</x:v>
      </x:c>
      <x:c r="B33" s="70" t="n">
        <x:v>45978</x:v>
      </x:c>
      <x:c r="C33" t="str">
        <x:v>Grocery</x:v>
      </x:c>
      <x:c r="D33" t="str">
        <x:v>Green Tea 100 bags</x:v>
      </x:c>
      <x:c r="E33" t="str">
        <x:v>Own website</x:v>
      </x:c>
      <x:c r="F33" s="72" t="n">
        <x:v>355</x:v>
      </x:c>
      <x:c r="G33" s="72" t="n">
        <x:v>405</x:v>
      </x:c>
      <x:c r="H33" s="72" t="n">
        <x:v>364</x:v>
      </x:c>
      <x:c r="I33" s="72" t="n">
        <x:v>399</x:v>
      </x:c>
      <x:c r="J33" s="72" t="n">
        <x:f>AVERAGE(G33:I33)</x:f>
        <x:v>389.3333333333333</x:v>
      </x:c>
      <x:c r="K33" s="72" t="n">
        <x:f>F33-J33</x:f>
        <x:v>-34.333333333333314</x:v>
      </x:c>
      <x:c r="L33" s="53" t="n">
        <x:f>IFERROR(K33/J33*100,0)</x:f>
        <x:v>-8.818493150684926</x:v>
      </x:c>
      <x:c r="M33" t="str">
        <x:f>IF(L33&gt;0,"Overpriced",IF(L33&lt;0,"Underpriced","At benchmark"))</x:f>
        <x:v>Underpriced</x:v>
      </x:c>
      <x:c r="N33" t="n">
        <x:v>0</x:v>
      </x:c>
      <x:c r="O33"/>
      <x:c r="P33" s="53" t="str">
        <x:f>IFERROR((F33-O33)/O33*100,"")</x:f>
      </x:c>
      <x:c r="Q33" t="str">
        <x:v>In stock</x:v>
      </x:c>
      <x:c r="R33" t="n">
        <x:v>366</x:v>
      </x:c>
      <x:c r="S33" t="str">
        <x:v>367, 368, 369</x:v>
      </x:c>
      <x:c r="T33" t="str">
        <x:v>Marketplace</x:v>
      </x:c>
      <x:c r="U33" t="str">
        <x:v>Marketplace</x:v>
      </x:c>
      <x:c r="V33" t="str">
        <x:v>Quick-commerce app</x:v>
      </x:c>
    </x:row>
    <x:row r="34" ht="15" hidden="0" customHeight="1">
      <x:c r="A34" t="str">
        <x:v>OBS-066</x:v>
      </x:c>
      <x:c r="B34" s="70" t="n">
        <x:v>45985</x:v>
      </x:c>
      <x:c r="C34" t="str">
        <x:v>Electronics</x:v>
      </x:c>
      <x:c r="D34" t="str">
        <x:v>Power Bank 20000mAh</x:v>
      </x:c>
      <x:c r="E34" t="str">
        <x:v>Marketplace</x:v>
      </x:c>
      <x:c r="F34" s="72" t="n">
        <x:v>1826</x:v>
      </x:c>
      <x:c r="G34" s="72" t="n">
        <x:v>1839</x:v>
      </x:c>
      <x:c r="H34" s="72" t="n">
        <x:v>1803</x:v>
      </x:c>
      <x:c r="I34" s="72" t="n">
        <x:v>1402</x:v>
      </x:c>
      <x:c r="J34" s="72" t="n">
        <x:f>AVERAGE(G34:I34)</x:f>
        <x:v>1681.3333333333333</x:v>
      </x:c>
      <x:c r="K34" s="72" t="n">
        <x:f>F34-J34</x:f>
        <x:v>144.66666666666674</x:v>
      </x:c>
      <x:c r="L34" s="53" t="n">
        <x:f>IFERROR(K34/J34*100,0)</x:f>
        <x:v>8.604282315622527</x:v>
      </x:c>
      <x:c r="M34" t="str">
        <x:f>IF(L34&gt;0,"Overpriced",IF(L34&lt;0,"Underpriced","At benchmark"))</x:f>
        <x:v>Overpriced</x:v>
      </x:c>
      <x:c r="N34" t="n">
        <x:v>1</x:v>
      </x:c>
      <x:c r="O34" t="n">
        <x:v>1402</x:v>
      </x:c>
      <x:c r="P34" s="53" t="n">
        <x:f>IFERROR((F34-O34)/O34*100,"")</x:f>
        <x:v>30.24251069900143</x:v>
      </x:c>
      <x:c r="Q34" t="str">
        <x:v>Out of stock</x:v>
      </x:c>
      <x:c r="R34" t="n">
        <x:v>262</x:v>
      </x:c>
      <x:c r="S34" t="str">
        <x:v>263, 264, 265</x:v>
      </x:c>
      <x:c r="T34" t="str">
        <x:v>Quick-commerce app</x:v>
      </x:c>
      <x:c r="U34" t="str">
        <x:v>Quick-commerce app</x:v>
      </x:c>
      <x:c r="V34" t="str">
        <x:v>Marketplace</x:v>
      </x:c>
    </x:row>
    <x:row r="35" ht="15" hidden="0" customHeight="1">
      <x:c r="A35" t="str">
        <x:v>OBS-005</x:v>
      </x:c>
      <x:c r="B35" s="70" t="n">
        <x:v>45985</x:v>
      </x:c>
      <x:c r="C35" t="str">
        <x:v>Grocery</x:v>
      </x:c>
      <x:c r="D35" t="str">
        <x:v>Green Tea 100 bags</x:v>
      </x:c>
      <x:c r="E35" t="str">
        <x:v>Own website</x:v>
      </x:c>
      <x:c r="F35" s="72" t="n">
        <x:v>386</x:v>
      </x:c>
      <x:c r="G35" s="72" t="n">
        <x:v>384</x:v>
      </x:c>
      <x:c r="H35" s="72" t="n">
        <x:v>506</x:v>
      </x:c>
      <x:c r="I35" s="72" t="n">
        <x:v>488</x:v>
      </x:c>
      <x:c r="J35" s="72" t="n">
        <x:f>AVERAGE(G35:I35)</x:f>
        <x:v>459.3333333333333</x:v>
      </x:c>
      <x:c r="K35" s="72" t="n">
        <x:f>F35-J35</x:f>
        <x:v>-73.33333333333331</x:v>
      </x:c>
      <x:c r="L35" s="53" t="n">
        <x:f>IFERROR(K35/J35*100,0)</x:f>
        <x:v>-15.96516690856313</x:v>
      </x:c>
      <x:c r="M35" t="str">
        <x:f>IF(L35&gt;0,"Overpriced",IF(L35&lt;0,"Underpriced","At benchmark"))</x:f>
        <x:v>Underpriced</x:v>
      </x:c>
      <x:c r="N35" t="n">
        <x:v>1</x:v>
      </x:c>
      <x:c r="O35" t="n">
        <x:v>506</x:v>
      </x:c>
      <x:c r="P35" s="53" t="n">
        <x:f>IFERROR((F35-O35)/O35*100,"")</x:f>
        <x:v>-23.715415019762844</x:v>
      </x:c>
      <x:c r="Q35" t="str">
        <x:v>In stock</x:v>
      </x:c>
      <x:c r="R35" t="n">
        <x:v>18</x:v>
      </x:c>
      <x:c r="S35" t="str">
        <x:v>19, 20, 21</x:v>
      </x:c>
      <x:c r="T35" t="str">
        <x:v>Quick-commerce app</x:v>
      </x:c>
      <x:c r="U35" t="str">
        <x:v>Own website</x:v>
      </x:c>
      <x:c r="V35" t="str">
        <x:v>Quick-commerce app</x:v>
      </x:c>
    </x:row>
    <x:row r="36" ht="15" hidden="0" customHeight="1">
      <x:c r="A36" t="str">
        <x:v>OBS-064</x:v>
      </x:c>
      <x:c r="B36" s="70" t="n">
        <x:v>45985</x:v>
      </x:c>
      <x:c r="C36" t="str">
        <x:v>Home &amp; Kitchen</x:v>
      </x:c>
      <x:c r="D36" t="str">
        <x:v>Non-stick Cookware Set</x:v>
      </x:c>
      <x:c r="E36" t="str">
        <x:v>Marketplace</x:v>
      </x:c>
      <x:c r="F36" s="72" t="n">
        <x:v>3790</x:v>
      </x:c>
      <x:c r="G36" s="72" t="n">
        <x:v>3106</x:v>
      </x:c>
      <x:c r="H36" s="72" t="n">
        <x:v>3360</x:v>
      </x:c>
      <x:c r="I36" s="72" t="n">
        <x:v>3069</x:v>
      </x:c>
      <x:c r="J36" s="72" t="n">
        <x:f>AVERAGE(G36:I36)</x:f>
        <x:v>3178.3333333333335</x:v>
      </x:c>
      <x:c r="K36" s="72" t="n">
        <x:f>F36-J36</x:f>
        <x:v>611.6666666666665</x:v>
      </x:c>
      <x:c r="L36" s="53" t="n">
        <x:f>IFERROR(K36/J36*100,0)</x:f>
        <x:v>19.244887257472463</x:v>
      </x:c>
      <x:c r="M36" t="str">
        <x:f>IF(L36&gt;0,"Overpriced",IF(L36&lt;0,"Underpriced","At benchmark"))</x:f>
        <x:v>Overpriced</x:v>
      </x:c>
      <x:c r="N36" t="n">
        <x:v>0</x:v>
      </x:c>
      <x:c r="O36"/>
      <x:c r="P36" s="53" t="str">
        <x:f>IFERROR((F36-O36)/O36*100,"")</x:f>
      </x:c>
      <x:c r="Q36" t="str">
        <x:v>Low stock</x:v>
      </x:c>
      <x:c r="R36" t="n">
        <x:v>254</x:v>
      </x:c>
      <x:c r="S36" t="str">
        <x:v>255, 256, 257</x:v>
      </x:c>
      <x:c r="T36" t="str">
        <x:v>Own website</x:v>
      </x:c>
      <x:c r="U36" t="str">
        <x:v>Quick-commerce app</x:v>
      </x:c>
      <x:c r="V36" t="str">
        <x:v>Quick-commerce app</x:v>
      </x:c>
    </x:row>
    <x:row r="37" ht="15" hidden="0" customHeight="1">
      <x:c r="A37" t="str">
        <x:v>OBS-037</x:v>
      </x:c>
      <x:c r="B37" s="70" t="n">
        <x:v>45992</x:v>
      </x:c>
      <x:c r="C37" t="str">
        <x:v>Beauty</x:v>
      </x:c>
      <x:c r="D37" t="str">
        <x:v>Beard Trimmer</x:v>
      </x:c>
      <x:c r="E37" t="str">
        <x:v>Quick-commerce app</x:v>
      </x:c>
      <x:c r="F37" s="72" t="n">
        <x:v>1499</x:v>
      </x:c>
      <x:c r="G37" s="72" t="n">
        <x:v>1460</x:v>
      </x:c>
      <x:c r="H37" s="72" t="n">
        <x:v>1460</x:v>
      </x:c>
      <x:c r="I37" s="72" t="n">
        <x:v>1320</x:v>
      </x:c>
      <x:c r="J37" s="72" t="n">
        <x:f>AVERAGE(G37:I37)</x:f>
        <x:v>1413.3333333333333</x:v>
      </x:c>
      <x:c r="K37" s="72" t="n">
        <x:f>F37-J37</x:f>
        <x:v>85.66666666666674</x:v>
      </x:c>
      <x:c r="L37" s="53" t="n">
        <x:f>IFERROR(K37/J37*100,0)</x:f>
        <x:v>6.061320754716987</x:v>
      </x:c>
      <x:c r="M37" t="str">
        <x:f>IF(L37&gt;0,"Overpriced",IF(L37&lt;0,"Underpriced","At benchmark"))</x:f>
        <x:v>Overpriced</x:v>
      </x:c>
      <x:c r="N37" t="n">
        <x:v>1</x:v>
      </x:c>
      <x:c r="O37" t="n">
        <x:v>1460</x:v>
      </x:c>
      <x:c r="P37" s="53" t="n">
        <x:f>IFERROR((F37-O37)/O37*100,"")</x:f>
        <x:v>2.671232876712329</x:v>
      </x:c>
      <x:c r="Q37" t="str">
        <x:v>In stock</x:v>
      </x:c>
      <x:c r="R37" t="n">
        <x:v>146</x:v>
      </x:c>
      <x:c r="S37" t="str">
        <x:v>147, 148, 149</x:v>
      </x:c>
      <x:c r="T37" t="str">
        <x:v>Marketplace</x:v>
      </x:c>
      <x:c r="U37" t="str">
        <x:v>Quick-commerce app</x:v>
      </x:c>
      <x:c r="V37" t="str">
        <x:v>Marketplace</x:v>
      </x:c>
    </x:row>
    <x:row r="38" ht="15" hidden="0" customHeight="1">
      <x:c r="A38" t="str">
        <x:v>OBS-080</x:v>
      </x:c>
      <x:c r="B38" s="70" t="n">
        <x:v>45992</x:v>
      </x:c>
      <x:c r="C38" t="str">
        <x:v>Electronics</x:v>
      </x:c>
      <x:c r="D38" t="str">
        <x:v>Bluetooth Speaker</x:v>
      </x:c>
      <x:c r="E38" t="str">
        <x:v>Quick-commerce app</x:v>
      </x:c>
      <x:c r="F38" s="72" t="n">
        <x:v>4048</x:v>
      </x:c>
      <x:c r="G38" s="72" t="n">
        <x:v>4316</x:v>
      </x:c>
      <x:c r="H38" s="72" t="n">
        <x:v>3773</x:v>
      </x:c>
      <x:c r="I38" s="72" t="n">
        <x:v>4196</x:v>
      </x:c>
      <x:c r="J38" s="72" t="n">
        <x:f>AVERAGE(G38:I38)</x:f>
        <x:v>4095</x:v>
      </x:c>
      <x:c r="K38" s="72" t="n">
        <x:f>F38-J38</x:f>
        <x:v>-47</x:v>
      </x:c>
      <x:c r="L38" s="53" t="n">
        <x:f>IFERROR(K38/J38*100,0)</x:f>
        <x:v>-1.1477411477411479</x:v>
      </x:c>
      <x:c r="M38" t="str">
        <x:f>IF(L38&gt;0,"Overpriced",IF(L38&lt;0,"Underpriced","At benchmark"))</x:f>
        <x:v>Underpriced</x:v>
      </x:c>
      <x:c r="N38" t="n">
        <x:v>0</x:v>
      </x:c>
      <x:c r="O38"/>
      <x:c r="P38" s="53" t="str">
        <x:f>IFERROR((F38-O38)/O38*100,"")</x:f>
      </x:c>
      <x:c r="Q38" t="str">
        <x:v>Low stock</x:v>
      </x:c>
      <x:c r="R38" t="n">
        <x:v>318</x:v>
      </x:c>
      <x:c r="S38" t="str">
        <x:v>319, 320, 321</x:v>
      </x:c>
      <x:c r="T38" t="str">
        <x:v>Own website</x:v>
      </x:c>
      <x:c r="U38" t="str">
        <x:v>Own website</x:v>
      </x:c>
      <x:c r="V38" t="str">
        <x:v>Marketplace</x:v>
      </x:c>
    </x:row>
    <x:row r="39" ht="15" hidden="0" customHeight="1">
      <x:c r="A39" t="str">
        <x:v>OBS-081</x:v>
      </x:c>
      <x:c r="B39" s="70" t="n">
        <x:v>45992</x:v>
      </x:c>
      <x:c r="C39" t="str">
        <x:v>Fashion</x:v>
      </x:c>
      <x:c r="D39" t="str">
        <x:v>Formal Shirt</x:v>
      </x:c>
      <x:c r="E39" t="str">
        <x:v>Quick-commerce app</x:v>
      </x:c>
      <x:c r="F39" s="72" t="n">
        <x:v>1859</x:v>
      </x:c>
      <x:c r="G39" s="72" t="n">
        <x:v>1673</x:v>
      </x:c>
      <x:c r="H39" s="72" t="n">
        <x:v>1499</x:v>
      </x:c>
      <x:c r="I39" s="72" t="n">
        <x:v>1781</x:v>
      </x:c>
      <x:c r="J39" s="72" t="n">
        <x:f>AVERAGE(G39:I39)</x:f>
        <x:v>1651</x:v>
      </x:c>
      <x:c r="K39" s="72" t="n">
        <x:f>F39-J39</x:f>
        <x:v>208</x:v>
      </x:c>
      <x:c r="L39" s="53" t="n">
        <x:f>IFERROR(K39/J39*100,0)</x:f>
        <x:v>12.598425196850393</x:v>
      </x:c>
      <x:c r="M39" t="str">
        <x:f>IF(L39&gt;0,"Overpriced",IF(L39&lt;0,"Underpriced","At benchmark"))</x:f>
        <x:v>Overpriced</x:v>
      </x:c>
      <x:c r="N39" t="n">
        <x:v>0</x:v>
      </x:c>
      <x:c r="O39"/>
      <x:c r="P39" s="53" t="str">
        <x:f>IFERROR((F39-O39)/O39*100,"")</x:f>
      </x:c>
      <x:c r="Q39" t="str">
        <x:v>Out of stock</x:v>
      </x:c>
      <x:c r="R39" t="n">
        <x:v>322</x:v>
      </x:c>
      <x:c r="S39" t="str">
        <x:v>323, 324, 325</x:v>
      </x:c>
      <x:c r="T39" t="str">
        <x:v>Own website</x:v>
      </x:c>
      <x:c r="U39" t="str">
        <x:v>Marketplace</x:v>
      </x:c>
      <x:c r="V39" t="str">
        <x:v>Marketplace</x:v>
      </x:c>
    </x:row>
    <x:row r="40" ht="15" hidden="0" customHeight="1">
      <x:c r="A40" t="str">
        <x:v>OBS-036</x:v>
      </x:c>
      <x:c r="B40" s="70" t="n">
        <x:v>45999</x:v>
      </x:c>
      <x:c r="C40" t="str">
        <x:v>Beauty</x:v>
      </x:c>
      <x:c r="D40" t="str">
        <x:v>Lipstick</x:v>
      </x:c>
      <x:c r="E40" t="str">
        <x:v>Quick-commerce app</x:v>
      </x:c>
      <x:c r="F40" s="72" t="n">
        <x:v>418</x:v>
      </x:c>
      <x:c r="G40" s="72" t="n">
        <x:v>384</x:v>
      </x:c>
      <x:c r="H40" s="72" t="n">
        <x:v>341</x:v>
      </x:c>
      <x:c r="I40" s="72" t="n">
        <x:v>419</x:v>
      </x:c>
      <x:c r="J40" s="72" t="n">
        <x:f>AVERAGE(G40:I40)</x:f>
        <x:v>381.3333333333333</x:v>
      </x:c>
      <x:c r="K40" s="72" t="n">
        <x:f>F40-J40</x:f>
        <x:v>36.666666666666686</x:v>
      </x:c>
      <x:c r="L40" s="53" t="n">
        <x:f>IFERROR(K40/J40*100,0)</x:f>
        <x:v>9.615384615384622</x:v>
      </x:c>
      <x:c r="M40" t="str">
        <x:f>IF(L40&gt;0,"Overpriced",IF(L40&lt;0,"Underpriced","At benchmark"))</x:f>
        <x:v>Overpriced</x:v>
      </x:c>
      <x:c r="N40" t="n">
        <x:v>1</x:v>
      </x:c>
      <x:c r="O40" t="n">
        <x:v>419</x:v>
      </x:c>
      <x:c r="P40" s="53" t="n">
        <x:f>IFERROR((F40-O40)/O40*100,"")</x:f>
        <x:v>-0.23866348448687352</x:v>
      </x:c>
      <x:c r="Q40" t="str">
        <x:v>In stock</x:v>
      </x:c>
      <x:c r="R40" t="n">
        <x:v>142</x:v>
      </x:c>
      <x:c r="S40" t="str">
        <x:v>143, 144, 145</x:v>
      </x:c>
      <x:c r="T40" t="str">
        <x:v>Own website</x:v>
      </x:c>
      <x:c r="U40" t="str">
        <x:v>Marketplace</x:v>
      </x:c>
      <x:c r="V40" t="str">
        <x:v>Quick-commerce app</x:v>
      </x:c>
    </x:row>
    <x:row r="41" ht="15" hidden="0" customHeight="1">
      <x:c r="A41" t="str">
        <x:v>OBS-093</x:v>
      </x:c>
      <x:c r="B41" s="70" t="n">
        <x:v>45999</x:v>
      </x:c>
      <x:c r="C41" t="str">
        <x:v>Electronics</x:v>
      </x:c>
      <x:c r="D41" t="str">
        <x:v>USB-C Charger 65W</x:v>
      </x:c>
      <x:c r="E41" t="str">
        <x:v>Marketplace</x:v>
      </x:c>
      <x:c r="F41" s="72" t="n">
        <x:v>1722</x:v>
      </x:c>
      <x:c r="G41" s="72" t="n">
        <x:v>1887</x:v>
      </x:c>
      <x:c r="H41" s="72" t="n">
        <x:v>1600</x:v>
      </x:c>
      <x:c r="I41" s="72" t="n">
        <x:v>2097</x:v>
      </x:c>
      <x:c r="J41" s="72" t="n">
        <x:f>AVERAGE(G41:I41)</x:f>
        <x:v>1861.3333333333333</x:v>
      </x:c>
      <x:c r="K41" s="72" t="n">
        <x:f>F41-J41</x:f>
        <x:v>-139.33333333333326</x:v>
      </x:c>
      <x:c r="L41" s="53" t="n">
        <x:f>IFERROR(K41/J41*100,0)</x:f>
        <x:v>-7.485673352435526</x:v>
      </x:c>
      <x:c r="M41" t="str">
        <x:f>IF(L41&gt;0,"Overpriced",IF(L41&lt;0,"Underpriced","At benchmark"))</x:f>
        <x:v>Underpriced</x:v>
      </x:c>
      <x:c r="N41" t="n">
        <x:v>0</x:v>
      </x:c>
      <x:c r="O41"/>
      <x:c r="P41" s="53" t="str">
        <x:f>IFERROR((F41-O41)/O41*100,"")</x:f>
      </x:c>
      <x:c r="Q41" t="str">
        <x:v>Out of stock</x:v>
      </x:c>
      <x:c r="R41" t="n">
        <x:v>370</x:v>
      </x:c>
      <x:c r="S41" t="str">
        <x:v>371, 372, 373</x:v>
      </x:c>
      <x:c r="T41" t="str">
        <x:v>Own website</x:v>
      </x:c>
      <x:c r="U41" t="str">
        <x:v>Own website</x:v>
      </x:c>
      <x:c r="V41" t="str">
        <x:v>Own website</x:v>
      </x:c>
    </x:row>
    <x:row r="42" ht="15" hidden="0" customHeight="1">
      <x:c r="A42" t="str">
        <x:v>OBS-074</x:v>
      </x:c>
      <x:c r="B42" s="70" t="n">
        <x:v>45999</x:v>
      </x:c>
      <x:c r="C42" t="str">
        <x:v>Fashion</x:v>
      </x:c>
      <x:c r="D42" t="str">
        <x:v>Cotton Kurta</x:v>
      </x:c>
      <x:c r="E42" t="str">
        <x:v>Marketplace</x:v>
      </x:c>
      <x:c r="F42" s="72" t="n">
        <x:v>1700</x:v>
      </x:c>
      <x:c r="G42" s="72" t="n">
        <x:v>1846</x:v>
      </x:c>
      <x:c r="H42" s="72" t="n">
        <x:v>1495</x:v>
      </x:c>
      <x:c r="I42" s="72" t="n">
        <x:v>1586</x:v>
      </x:c>
      <x:c r="J42" s="72" t="n">
        <x:f>AVERAGE(G42:I42)</x:f>
        <x:v>1642.3333333333333</x:v>
      </x:c>
      <x:c r="K42" s="72" t="n">
        <x:f>F42-J42</x:f>
        <x:v>57.66666666666674</x:v>
      </x:c>
      <x:c r="L42" s="53" t="n">
        <x:f>IFERROR(K42/J42*100,0)</x:f>
        <x:v>3.51126446113254</x:v>
      </x:c>
      <x:c r="M42" t="str">
        <x:f>IF(L42&gt;0,"Overpriced",IF(L42&lt;0,"Underpriced","At benchmark"))</x:f>
        <x:v>Overpriced</x:v>
      </x:c>
      <x:c r="N42" t="n">
        <x:v>0</x:v>
      </x:c>
      <x:c r="O42"/>
      <x:c r="P42" s="53" t="str">
        <x:f>IFERROR((F42-O42)/O42*100,"")</x:f>
      </x:c>
      <x:c r="Q42" t="str">
        <x:v>Out of stock</x:v>
      </x:c>
      <x:c r="R42" t="n">
        <x:v>294</x:v>
      </x:c>
      <x:c r="S42" t="str">
        <x:v>295, 296, 297</x:v>
      </x:c>
      <x:c r="T42" t="str">
        <x:v>Own website</x:v>
      </x:c>
      <x:c r="U42" t="str">
        <x:v>Quick-commerce app</x:v>
      </x:c>
      <x:c r="V42" t="str">
        <x:v>Own website</x:v>
      </x:c>
    </x:row>
    <x:row r="43" ht="15" hidden="0" customHeight="1">
      <x:c r="A43" t="str">
        <x:v>OBS-040</x:v>
      </x:c>
      <x:c r="B43" s="70" t="n">
        <x:v>45999</x:v>
      </x:c>
      <x:c r="C43" t="str">
        <x:v>Grocery</x:v>
      </x:c>
      <x:c r="D43" t="str">
        <x:v>Basmati Rice 5kg</x:v>
      </x:c>
      <x:c r="E43" t="str">
        <x:v>Marketplace</x:v>
      </x:c>
      <x:c r="F43" s="72" t="n">
        <x:v>792</x:v>
      </x:c>
      <x:c r="G43" s="72" t="n">
        <x:v>657</x:v>
      </x:c>
      <x:c r="H43" s="72" t="n">
        <x:v>687</x:v>
      </x:c>
      <x:c r="I43" s="72" t="n">
        <x:v>792</x:v>
      </x:c>
      <x:c r="J43" s="72" t="n">
        <x:f>AVERAGE(G43:I43)</x:f>
        <x:v>712</x:v>
      </x:c>
      <x:c r="K43" s="72" t="n">
        <x:f>F43-J43</x:f>
        <x:v>80</x:v>
      </x:c>
      <x:c r="L43" s="53" t="n">
        <x:f>IFERROR(K43/J43*100,0)</x:f>
        <x:v>11.235955056179774</x:v>
      </x:c>
      <x:c r="M43" t="str">
        <x:f>IF(L43&gt;0,"Overpriced",IF(L43&lt;0,"Underpriced","At benchmark"))</x:f>
        <x:v>Overpriced</x:v>
      </x:c>
      <x:c r="N43" t="n">
        <x:v>2</x:v>
      </x:c>
      <x:c r="O43" t="n">
        <x:v>672</x:v>
      </x:c>
      <x:c r="P43" s="53" t="n">
        <x:f>IFERROR((F43-O43)/O43*100,"")</x:f>
        <x:v>17.857142857142858</x:v>
      </x:c>
      <x:c r="Q43" t="str">
        <x:v>In stock</x:v>
      </x:c>
      <x:c r="R43" t="n">
        <x:v>158</x:v>
      </x:c>
      <x:c r="S43" t="str">
        <x:v>159, 160, 161</x:v>
      </x:c>
      <x:c r="T43" t="str">
        <x:v>Marketplace</x:v>
      </x:c>
      <x:c r="U43" t="str">
        <x:v>Marketplace</x:v>
      </x:c>
      <x:c r="V43" t="str">
        <x:v>Own website</x:v>
      </x:c>
    </x:row>
    <x:row r="44" ht="15" hidden="0" customHeight="1">
      <x:c r="A44" t="str">
        <x:v>OBS-012</x:v>
      </x:c>
      <x:c r="B44" s="70" t="n">
        <x:v>45999</x:v>
      </x:c>
      <x:c r="C44" t="str">
        <x:v>Grocery</x:v>
      </x:c>
      <x:c r="D44" t="str">
        <x:v>Cold-pressed Oil 1L</x:v>
      </x:c>
      <x:c r="E44" t="str">
        <x:v>Own website</x:v>
      </x:c>
      <x:c r="F44" s="72" t="n">
        <x:v>472</x:v>
      </x:c>
      <x:c r="G44" s="72" t="n">
        <x:v>405</x:v>
      </x:c>
      <x:c r="H44" s="72" t="n">
        <x:v>458</x:v>
      </x:c>
      <x:c r="I44" s="72" t="n">
        <x:v>461</x:v>
      </x:c>
      <x:c r="J44" s="72" t="n">
        <x:f>AVERAGE(G44:I44)</x:f>
        <x:v>441.3333333333333</x:v>
      </x:c>
      <x:c r="K44" s="72" t="n">
        <x:f>F44-J44</x:f>
        <x:v>30.666666666666686</x:v>
      </x:c>
      <x:c r="L44" s="53" t="n">
        <x:f>IFERROR(K44/J44*100,0)</x:f>
        <x:v>6.948640483383691</x:v>
      </x:c>
      <x:c r="M44" t="str">
        <x:f>IF(L44&gt;0,"Overpriced",IF(L44&lt;0,"Underpriced","At benchmark"))</x:f>
        <x:v>Overpriced</x:v>
      </x:c>
      <x:c r="N44" t="n">
        <x:v>1</x:v>
      </x:c>
      <x:c r="O44" t="n">
        <x:v>405</x:v>
      </x:c>
      <x:c r="P44" s="53" t="n">
        <x:f>IFERROR((F44-O44)/O44*100,"")</x:f>
        <x:v>16.543209876543212</x:v>
      </x:c>
      <x:c r="Q44" t="str">
        <x:v>Low stock</x:v>
      </x:c>
      <x:c r="R44" t="n">
        <x:v>46</x:v>
      </x:c>
      <x:c r="S44" t="str">
        <x:v>47, 48, 49</x:v>
      </x:c>
      <x:c r="T44" t="str">
        <x:v>Own website</x:v>
      </x:c>
      <x:c r="U44" t="str">
        <x:v>Marketplace</x:v>
      </x:c>
      <x:c r="V44" t="str">
        <x:v>Marketplace</x:v>
      </x:c>
    </x:row>
    <x:row r="45" ht="15" hidden="0" customHeight="1">
      <x:c r="A45" t="str">
        <x:v>OBS-067</x:v>
      </x:c>
      <x:c r="B45" s="70" t="n">
        <x:v>45999</x:v>
      </x:c>
      <x:c r="C45" t="str">
        <x:v>Grocery</x:v>
      </x:c>
      <x:c r="D45" t="str">
        <x:v>Green Tea 100 bags</x:v>
      </x:c>
      <x:c r="E45" t="str">
        <x:v>Marketplace</x:v>
      </x:c>
      <x:c r="F45" s="72" t="n">
        <x:v>198</x:v>
      </x:c>
      <x:c r="G45" s="72" t="n">
        <x:v>197</x:v>
      </x:c>
      <x:c r="H45" s="72" t="n">
        <x:v>252</x:v>
      </x:c>
      <x:c r="I45" s="72" t="n">
        <x:v>196</x:v>
      </x:c>
      <x:c r="J45" s="72" t="n">
        <x:f>AVERAGE(G45:I45)</x:f>
        <x:v>215</x:v>
      </x:c>
      <x:c r="K45" s="72" t="n">
        <x:f>F45-J45</x:f>
        <x:v>-17</x:v>
      </x:c>
      <x:c r="L45" s="53" t="n">
        <x:f>IFERROR(K45/J45*100,0)</x:f>
        <x:v>-7.906976744186046</x:v>
      </x:c>
      <x:c r="M45" t="str">
        <x:f>IF(L45&gt;0,"Overpriced",IF(L45&lt;0,"Underpriced","At benchmark"))</x:f>
        <x:v>Underpriced</x:v>
      </x:c>
      <x:c r="N45" t="n">
        <x:v>3</x:v>
      </x:c>
      <x:c r="O45" t="n">
        <x:v>215</x:v>
      </x:c>
      <x:c r="P45" s="53" t="n">
        <x:f>IFERROR((F45-O45)/O45*100,"")</x:f>
        <x:v>-7.906976744186046</x:v>
      </x:c>
      <x:c r="Q45" t="str">
        <x:v>In stock</x:v>
      </x:c>
      <x:c r="R45" t="n">
        <x:v>266</x:v>
      </x:c>
      <x:c r="S45" t="str">
        <x:v>267, 268, 269</x:v>
      </x:c>
      <x:c r="T45" t="str">
        <x:v>Marketplace</x:v>
      </x:c>
      <x:c r="U45" t="str">
        <x:v>Marketplace</x:v>
      </x:c>
      <x:c r="V45" t="str">
        <x:v>Marketplace</x:v>
      </x:c>
    </x:row>
    <x:row r="46" ht="15" hidden="0" customHeight="1">
      <x:c r="A46" t="str">
        <x:v>OBS-030</x:v>
      </x:c>
      <x:c r="B46" s="70" t="n">
        <x:v>45999</x:v>
      </x:c>
      <x:c r="C46" t="str">
        <x:v>Home &amp; Kitchen</x:v>
      </x:c>
      <x:c r="D46" t="str">
        <x:v>Air Fryer</x:v>
      </x:c>
      <x:c r="E46" t="str">
        <x:v>Own website</x:v>
      </x:c>
      <x:c r="F46" s="72" t="n">
        <x:v>5314</x:v>
      </x:c>
      <x:c r="G46" s="72" t="n">
        <x:v>4506</x:v>
      </x:c>
      <x:c r="H46" s="72" t="n">
        <x:v>5261</x:v>
      </x:c>
      <x:c r="I46" s="72" t="n">
        <x:v>4602</x:v>
      </x:c>
      <x:c r="J46" s="72" t="n">
        <x:f>AVERAGE(G46:I46)</x:f>
        <x:v>4789.666666666667</x:v>
      </x:c>
      <x:c r="K46" s="72" t="n">
        <x:f>F46-J46</x:f>
        <x:v>524.333333333333</x:v>
      </x:c>
      <x:c r="L46" s="53" t="n">
        <x:f>IFERROR(K46/J46*100,0)</x:f>
        <x:v>10.947177952536704</x:v>
      </x:c>
      <x:c r="M46" t="str">
        <x:f>IF(L46&gt;0,"Overpriced",IF(L46&lt;0,"Underpriced","At benchmark"))</x:f>
        <x:v>Overpriced</x:v>
      </x:c>
      <x:c r="N46" t="n">
        <x:v>0</x:v>
      </x:c>
      <x:c r="O46"/>
      <x:c r="P46" s="53" t="str">
        <x:f>IFERROR((F46-O46)/O46*100,"")</x:f>
      </x:c>
      <x:c r="Q46" t="str">
        <x:v>In stock</x:v>
      </x:c>
      <x:c r="R46" t="n">
        <x:v>118</x:v>
      </x:c>
      <x:c r="S46" t="str">
        <x:v>119, 120, 121</x:v>
      </x:c>
      <x:c r="T46" t="str">
        <x:v>Marketplace</x:v>
      </x:c>
      <x:c r="U46" t="str">
        <x:v>Quick-commerce app</x:v>
      </x:c>
      <x:c r="V46" t="str">
        <x:v>Marketplace</x:v>
      </x:c>
    </x:row>
    <x:row r="47" ht="15" hidden="0" customHeight="1">
      <x:c r="A47" t="str">
        <x:v>OBS-072</x:v>
      </x:c>
      <x:c r="B47" s="70" t="n">
        <x:v>45999</x:v>
      </x:c>
      <x:c r="C47" t="str">
        <x:v>Home &amp; Kitchen</x:v>
      </x:c>
      <x:c r="D47" t="str">
        <x:v>Mixer Grinder</x:v>
      </x:c>
      <x:c r="E47" t="str">
        <x:v>Quick-commerce app</x:v>
      </x:c>
      <x:c r="F47" s="72" t="n">
        <x:v>2353</x:v>
      </x:c>
      <x:c r="G47" s="72" t="n">
        <x:v>2776</x:v>
      </x:c>
      <x:c r="H47" s="72" t="n">
        <x:v>2403</x:v>
      </x:c>
      <x:c r="I47" s="72" t="n">
        <x:v>2580</x:v>
      </x:c>
      <x:c r="J47" s="72" t="n">
        <x:f>AVERAGE(G47:I47)</x:f>
        <x:v>2586.3333333333335</x:v>
      </x:c>
      <x:c r="K47" s="72" t="n">
        <x:f>F47-J47</x:f>
        <x:v>-233.33333333333348</x:v>
      </x:c>
      <x:c r="L47" s="53" t="n">
        <x:f>IFERROR(K47/J47*100,0)</x:f>
        <x:v>-9.021781157365645</x:v>
      </x:c>
      <x:c r="M47" t="str">
        <x:f>IF(L47&gt;0,"Overpriced",IF(L47&lt;0,"Underpriced","At benchmark"))</x:f>
        <x:v>Underpriced</x:v>
      </x:c>
      <x:c r="N47" t="n">
        <x:v>1</x:v>
      </x:c>
      <x:c r="O47" t="n">
        <x:v>2580</x:v>
      </x:c>
      <x:c r="P47" s="53" t="n">
        <x:f>IFERROR((F47-O47)/O47*100,"")</x:f>
        <x:v>-8.7984496124031</x:v>
      </x:c>
      <x:c r="Q47" t="str">
        <x:v>In stock</x:v>
      </x:c>
      <x:c r="R47" t="n">
        <x:v>286</x:v>
      </x:c>
      <x:c r="S47" t="str">
        <x:v>287, 288, 289</x:v>
      </x:c>
      <x:c r="T47" t="str">
        <x:v>Own website</x:v>
      </x:c>
      <x:c r="U47" t="str">
        <x:v>Marketplace</x:v>
      </x:c>
      <x:c r="V47" t="str">
        <x:v>Quick-commerce app</x:v>
      </x:c>
    </x:row>
    <x:row r="48" ht="15" hidden="0" customHeight="1">
      <x:c r="A48" t="str">
        <x:v>OBS-061</x:v>
      </x:c>
      <x:c r="B48" s="70" t="n">
        <x:v>45999</x:v>
      </x:c>
      <x:c r="C48" t="str">
        <x:v>Home &amp; Kitchen</x:v>
      </x:c>
      <x:c r="D48" t="str">
        <x:v>Pressure Cooker 5L</x:v>
      </x:c>
      <x:c r="E48" t="str">
        <x:v>Marketplace</x:v>
      </x:c>
      <x:c r="F48" s="72" t="n">
        <x:v>1684</x:v>
      </x:c>
      <x:c r="G48" s="72" t="n">
        <x:v>1573</x:v>
      </x:c>
      <x:c r="H48" s="72" t="n">
        <x:v>1770</x:v>
      </x:c>
      <x:c r="I48" s="72" t="n">
        <x:v>1632</x:v>
      </x:c>
      <x:c r="J48" s="72" t="n">
        <x:f>AVERAGE(G48:I48)</x:f>
        <x:v>1658.3333333333333</x:v>
      </x:c>
      <x:c r="K48" s="72" t="n">
        <x:f>F48-J48</x:f>
        <x:v>25.666666666666742</x:v>
      </x:c>
      <x:c r="L48" s="53" t="n">
        <x:f>IFERROR(K48/J48*100,0)</x:f>
        <x:v>1.5477386934673412</x:v>
      </x:c>
      <x:c r="M48" t="str">
        <x:f>IF(L48&gt;0,"Overpriced",IF(L48&lt;0,"Underpriced","At benchmark"))</x:f>
        <x:v>Overpriced</x:v>
      </x:c>
      <x:c r="N48" t="n">
        <x:v>1</x:v>
      </x:c>
      <x:c r="O48" t="n">
        <x:v>1632</x:v>
      </x:c>
      <x:c r="P48" s="53" t="n">
        <x:f>IFERROR((F48-O48)/O48*100,"")</x:f>
        <x:v>3.1862745098039214</x:v>
      </x:c>
      <x:c r="Q48" t="str">
        <x:v>Out of stock</x:v>
      </x:c>
      <x:c r="R48" t="n">
        <x:v>242</x:v>
      </x:c>
      <x:c r="S48" t="str">
        <x:v>243, 244, 245</x:v>
      </x:c>
      <x:c r="T48" t="str">
        <x:v>Own website</x:v>
      </x:c>
      <x:c r="U48" t="str">
        <x:v>Own website</x:v>
      </x:c>
      <x:c r="V48" t="str">
        <x:v>Marketplace</x:v>
      </x:c>
    </x:row>
    <x:row r="49" ht="15" hidden="0" customHeight="1">
      <x:c r="A49" t="str">
        <x:v>OBS-051</x:v>
      </x:c>
      <x:c r="B49" s="70" t="n">
        <x:v>46006</x:v>
      </x:c>
      <x:c r="C49" t="str">
        <x:v>Beauty</x:v>
      </x:c>
      <x:c r="D49" t="str">
        <x:v>Beard Trimmer</x:v>
      </x:c>
      <x:c r="E49" t="str">
        <x:v>Quick-commerce app</x:v>
      </x:c>
      <x:c r="F49" s="72" t="n">
        <x:v>1812</x:v>
      </x:c>
      <x:c r="G49" s="72" t="n">
        <x:v>1724</x:v>
      </x:c>
      <x:c r="H49" s="72" t="n">
        <x:v>1596</x:v>
      </x:c>
      <x:c r="I49" s="72" t="n">
        <x:v>1938</x:v>
      </x:c>
      <x:c r="J49" s="72" t="n">
        <x:f>AVERAGE(G49:I49)</x:f>
        <x:v>1752.6666666666667</x:v>
      </x:c>
      <x:c r="K49" s="72" t="n">
        <x:f>F49-J49</x:f>
        <x:v>59.33333333333326</x:v>
      </x:c>
      <x:c r="L49" s="53" t="n">
        <x:f>IFERROR(K49/J49*100,0)</x:f>
        <x:v>3.3853176112590297</x:v>
      </x:c>
      <x:c r="M49" t="str">
        <x:f>IF(L49&gt;0,"Overpriced",IF(L49&lt;0,"Underpriced","At benchmark"))</x:f>
        <x:v>Overpriced</x:v>
      </x:c>
      <x:c r="N49" t="n">
        <x:v>2</x:v>
      </x:c>
      <x:c r="O49" t="n">
        <x:v>1767</x:v>
      </x:c>
      <x:c r="P49" s="53" t="n">
        <x:f>IFERROR((F49-O49)/O49*100,"")</x:f>
        <x:v>2.5466893039049237</x:v>
      </x:c>
      <x:c r="Q49" t="str">
        <x:v>Low stock</x:v>
      </x:c>
      <x:c r="R49" t="n">
        <x:v>202</x:v>
      </x:c>
      <x:c r="S49" t="str">
        <x:v>203, 204, 205</x:v>
      </x:c>
      <x:c r="T49" t="str">
        <x:v>Own website</x:v>
      </x:c>
      <x:c r="U49" t="str">
        <x:v>Quick-commerce app</x:v>
      </x:c>
      <x:c r="V49" t="str">
        <x:v>Quick-commerce app</x:v>
      </x:c>
    </x:row>
    <x:row r="50" ht="15" hidden="0" customHeight="1">
      <x:c r="A50" t="str">
        <x:v>OBS-026</x:v>
      </x:c>
      <x:c r="B50" s="70" t="n">
        <x:v>46006</x:v>
      </x:c>
      <x:c r="C50" t="str">
        <x:v>Beauty</x:v>
      </x:c>
      <x:c r="D50" t="str">
        <x:v>Sunscreen SPF 50</x:v>
      </x:c>
      <x:c r="E50" t="str">
        <x:v>Marketplace</x:v>
      </x:c>
      <x:c r="F50" s="72" t="n">
        <x:v>371</x:v>
      </x:c>
      <x:c r="G50" s="72" t="n">
        <x:v>345</x:v>
      </x:c>
      <x:c r="H50" s="72" t="n">
        <x:v>378</x:v>
      </x:c>
      <x:c r="I50" s="72" t="n">
        <x:v>334</x:v>
      </x:c>
      <x:c r="J50" s="72" t="n">
        <x:f>AVERAGE(G50:I50)</x:f>
        <x:v>352.3333333333333</x:v>
      </x:c>
      <x:c r="K50" s="72" t="n">
        <x:f>F50-J50</x:f>
        <x:v>18.666666666666686</x:v>
      </x:c>
      <x:c r="L50" s="53" t="n">
        <x:f>IFERROR(K50/J50*100,0)</x:f>
        <x:v>5.298013245033118</x:v>
      </x:c>
      <x:c r="M50" t="str">
        <x:f>IF(L50&gt;0,"Overpriced",IF(L50&lt;0,"Underpriced","At benchmark"))</x:f>
        <x:v>Overpriced</x:v>
      </x:c>
      <x:c r="N50" t="n">
        <x:v>1</x:v>
      </x:c>
      <x:c r="O50" t="n">
        <x:v>345</x:v>
      </x:c>
      <x:c r="P50" s="53" t="n">
        <x:f>IFERROR((F50-O50)/O50*100,"")</x:f>
        <x:v>7.536231884057972</x:v>
      </x:c>
      <x:c r="Q50" t="str">
        <x:v>Low stock</x:v>
      </x:c>
      <x:c r="R50" t="n">
        <x:v>102</x:v>
      </x:c>
      <x:c r="S50" t="str">
        <x:v>103, 104, 105</x:v>
      </x:c>
      <x:c r="T50" t="str">
        <x:v>Marketplace</x:v>
      </x:c>
      <x:c r="U50" t="str">
        <x:v>Own website</x:v>
      </x:c>
      <x:c r="V50" t="str">
        <x:v>Own website</x:v>
      </x:c>
    </x:row>
    <x:row r="51" ht="15" hidden="0" customHeight="1">
      <x:c r="A51" t="str">
        <x:v>OBS-019</x:v>
      </x:c>
      <x:c r="B51" s="70" t="n">
        <x:v>46006</x:v>
      </x:c>
      <x:c r="C51" t="str">
        <x:v>Fashion</x:v>
      </x:c>
      <x:c r="D51" t="str">
        <x:v>Cotton Kurta</x:v>
      </x:c>
      <x:c r="E51" t="str">
        <x:v>Own website</x:v>
      </x:c>
      <x:c r="F51" s="72" t="n">
        <x:v>899</x:v>
      </x:c>
      <x:c r="G51" s="72" t="n">
        <x:v>828</x:v>
      </x:c>
      <x:c r="H51" s="72" t="n">
        <x:v>727</x:v>
      </x:c>
      <x:c r="I51" s="72" t="n">
        <x:v>796</x:v>
      </x:c>
      <x:c r="J51" s="72" t="n">
        <x:f>AVERAGE(G51:I51)</x:f>
        <x:v>783.6666666666666</x:v>
      </x:c>
      <x:c r="K51" s="72" t="n">
        <x:f>F51-J51</x:f>
        <x:v>115.33333333333337</x:v>
      </x:c>
      <x:c r="L51" s="53" t="n">
        <x:f>IFERROR(K51/J51*100,0)</x:f>
        <x:v>14.717141641854536</x:v>
      </x:c>
      <x:c r="M51" t="str">
        <x:f>IF(L51&gt;0,"Overpriced",IF(L51&lt;0,"Underpriced","At benchmark"))</x:f>
        <x:v>Overpriced</x:v>
      </x:c>
      <x:c r="N51" t="n">
        <x:v>1</x:v>
      </x:c>
      <x:c r="O51" t="n">
        <x:v>828</x:v>
      </x:c>
      <x:c r="P51" s="53" t="n">
        <x:f>IFERROR((F51-O51)/O51*100,"")</x:f>
        <x:v>8.57487922705314</x:v>
      </x:c>
      <x:c r="Q51" t="str">
        <x:v>Out of stock</x:v>
      </x:c>
      <x:c r="R51" t="n">
        <x:v>74</x:v>
      </x:c>
      <x:c r="S51" t="str">
        <x:v>75, 76, 77</x:v>
      </x:c>
      <x:c r="T51" t="str">
        <x:v>Own website</x:v>
      </x:c>
      <x:c r="U51" t="str">
        <x:v>Quick-commerce app</x:v>
      </x:c>
      <x:c r="V51" t="str">
        <x:v>Quick-commerce app</x:v>
      </x:c>
    </x:row>
    <x:row r="52" ht="15" hidden="0" customHeight="1">
      <x:c r="A52" t="str">
        <x:v>OBS-044</x:v>
      </x:c>
      <x:c r="B52" s="70" t="n">
        <x:v>46006</x:v>
      </x:c>
      <x:c r="C52" t="str">
        <x:v>Fashion</x:v>
      </x:c>
      <x:c r="D52" t="str">
        <x:v>Denim Jeans</x:v>
      </x:c>
      <x:c r="E52" t="str">
        <x:v>Own website</x:v>
      </x:c>
      <x:c r="F52" s="72" t="n">
        <x:v>1653</x:v>
      </x:c>
      <x:c r="G52" s="72" t="n">
        <x:v>1897</x:v>
      </x:c>
      <x:c r="H52" s="72" t="n">
        <x:v>2006</x:v>
      </x:c>
      <x:c r="I52" s="72" t="n">
        <x:v>1949</x:v>
      </x:c>
      <x:c r="J52" s="72" t="n">
        <x:f>AVERAGE(G52:I52)</x:f>
        <x:v>1950.6666666666667</x:v>
      </x:c>
      <x:c r="K52" s="72" t="n">
        <x:f>F52-J52</x:f>
        <x:v>-297.66666666666674</x:v>
      </x:c>
      <x:c r="L52" s="53" t="n">
        <x:f>IFERROR(K52/J52*100,0)</x:f>
        <x:v>-15.259740259740262</x:v>
      </x:c>
      <x:c r="M52" t="str">
        <x:f>IF(L52&gt;0,"Overpriced",IF(L52&lt;0,"Underpriced","At benchmark"))</x:f>
        <x:v>Underpriced</x:v>
      </x:c>
      <x:c r="N52" t="n">
        <x:v>1</x:v>
      </x:c>
      <x:c r="O52" t="n">
        <x:v>1949</x:v>
      </x:c>
      <x:c r="P52" s="53" t="n">
        <x:f>IFERROR((F52-O52)/O52*100,"")</x:f>
        <x:v>-15.187275525910723</x:v>
      </x:c>
      <x:c r="Q52" t="str">
        <x:v>Out of stock</x:v>
      </x:c>
      <x:c r="R52" t="n">
        <x:v>174</x:v>
      </x:c>
      <x:c r="S52" t="str">
        <x:v>175, 176, 177</x:v>
      </x:c>
      <x:c r="T52" t="str">
        <x:v>Quick-commerce app</x:v>
      </x:c>
      <x:c r="U52" t="str">
        <x:v>Quick-commerce app</x:v>
      </x:c>
      <x:c r="V52" t="str">
        <x:v>Own website</x:v>
      </x:c>
    </x:row>
    <x:row r="53" ht="15" hidden="0" customHeight="1">
      <x:c r="A53" t="str">
        <x:v>OBS-011</x:v>
      </x:c>
      <x:c r="B53" s="70" t="n">
        <x:v>46006</x:v>
      </x:c>
      <x:c r="C53" t="str">
        <x:v>Fashion</x:v>
      </x:c>
      <x:c r="D53" t="str">
        <x:v>Formal Shirt</x:v>
      </x:c>
      <x:c r="E53" t="str">
        <x:v>Own website</x:v>
      </x:c>
      <x:c r="F53" s="72" t="n">
        <x:v>1812</x:v>
      </x:c>
      <x:c r="G53" s="72" t="n">
        <x:v>2007</x:v>
      </x:c>
      <x:c r="H53" s="72" t="n">
        <x:v>2028</x:v>
      </x:c>
      <x:c r="I53" s="72" t="n">
        <x:v>1626</x:v>
      </x:c>
      <x:c r="J53" s="72" t="n">
        <x:f>AVERAGE(G53:I53)</x:f>
        <x:v>1887</x:v>
      </x:c>
      <x:c r="K53" s="72" t="n">
        <x:f>F53-J53</x:f>
        <x:v>-75</x:v>
      </x:c>
      <x:c r="L53" s="53" t="n">
        <x:f>IFERROR(K53/J53*100,0)</x:f>
        <x:v>-3.97456279809221</x:v>
      </x:c>
      <x:c r="M53" t="str">
        <x:f>IF(L53&gt;0,"Overpriced",IF(L53&lt;0,"Underpriced","At benchmark"))</x:f>
        <x:v>Underpriced</x:v>
      </x:c>
      <x:c r="N53" t="n">
        <x:v>1</x:v>
      </x:c>
      <x:c r="O53" t="n">
        <x:v>2007</x:v>
      </x:c>
      <x:c r="P53" s="53" t="n">
        <x:f>IFERROR((F53-O53)/O53*100,"")</x:f>
        <x:v>-9.715994020926756</x:v>
      </x:c>
      <x:c r="Q53" t="str">
        <x:v>Out of stock</x:v>
      </x:c>
      <x:c r="R53" t="n">
        <x:v>42</x:v>
      </x:c>
      <x:c r="S53" t="str">
        <x:v>43, 44, 45</x:v>
      </x:c>
      <x:c r="T53" t="str">
        <x:v>Own website</x:v>
      </x:c>
      <x:c r="U53" t="str">
        <x:v>Quick-commerce app</x:v>
      </x:c>
      <x:c r="V53" t="str">
        <x:v>Marketplace</x:v>
      </x:c>
    </x:row>
    <x:row r="54" ht="15" hidden="0" customHeight="1">
      <x:c r="A54" t="str">
        <x:v>OBS-006</x:v>
      </x:c>
      <x:c r="B54" s="70" t="n">
        <x:v>46006</x:v>
      </x:c>
      <x:c r="C54" t="str">
        <x:v>Grocery</x:v>
      </x:c>
      <x:c r="D54" t="str">
        <x:v>Cold-pressed Oil 1L</x:v>
      </x:c>
      <x:c r="E54" t="str">
        <x:v>Own website</x:v>
      </x:c>
      <x:c r="F54" s="72" t="n">
        <x:v>364</x:v>
      </x:c>
      <x:c r="G54" s="72" t="n">
        <x:v>378</x:v>
      </x:c>
      <x:c r="H54" s="72" t="n">
        <x:v>470</x:v>
      </x:c>
      <x:c r="I54" s="72" t="n">
        <x:v>459</x:v>
      </x:c>
      <x:c r="J54" s="72" t="n">
        <x:f>AVERAGE(G54:I54)</x:f>
        <x:v>435.6666666666667</x:v>
      </x:c>
      <x:c r="K54" s="72" t="n">
        <x:f>F54-J54</x:f>
        <x:v>-71.66666666666669</x:v>
      </x:c>
      <x:c r="L54" s="53" t="n">
        <x:f>IFERROR(K54/J54*100,0)</x:f>
        <x:v>-16.44988523335884</x:v>
      </x:c>
      <x:c r="M54" t="str">
        <x:f>IF(L54&gt;0,"Overpriced",IF(L54&lt;0,"Underpriced","At benchmark"))</x:f>
        <x:v>Underpriced</x:v>
      </x:c>
      <x:c r="N54" t="n">
        <x:v>0</x:v>
      </x:c>
      <x:c r="O54"/>
      <x:c r="P54" s="53" t="str">
        <x:f>IFERROR((F54-O54)/O54*100,"")</x:f>
      </x:c>
      <x:c r="Q54" t="str">
        <x:v>Out of stock</x:v>
      </x:c>
      <x:c r="R54" t="n">
        <x:v>22</x:v>
      </x:c>
      <x:c r="S54" t="str">
        <x:v>23, 24, 25</x:v>
      </x:c>
      <x:c r="T54" t="str">
        <x:v>Marketplace</x:v>
      </x:c>
      <x:c r="U54" t="str">
        <x:v>Quick-commerce app</x:v>
      </x:c>
      <x:c r="V54" t="str">
        <x:v>Marketplace</x:v>
      </x:c>
    </x:row>
    <x:row r="55" ht="15" hidden="0" customHeight="1">
      <x:c r="A55" t="str">
        <x:v>OBS-079</x:v>
      </x:c>
      <x:c r="B55" s="70" t="n">
        <x:v>46006</x:v>
      </x:c>
      <x:c r="C55" t="str">
        <x:v>Grocery</x:v>
      </x:c>
      <x:c r="D55" t="str">
        <x:v>Green Tea 100 bags</x:v>
      </x:c>
      <x:c r="E55" t="str">
        <x:v>Quick-commerce app</x:v>
      </x:c>
      <x:c r="F55" s="72" t="n">
        <x:v>343</x:v>
      </x:c>
      <x:c r="G55" s="72" t="n">
        <x:v>266</x:v>
      </x:c>
      <x:c r="H55" s="72" t="n">
        <x:v>291</x:v>
      </x:c>
      <x:c r="I55" s="72" t="n">
        <x:v>326</x:v>
      </x:c>
      <x:c r="J55" s="72" t="n">
        <x:f>AVERAGE(G55:I55)</x:f>
        <x:v>294.3333333333333</x:v>
      </x:c>
      <x:c r="K55" s="72" t="n">
        <x:f>F55-J55</x:f>
        <x:v>48.666666666666686</x:v>
      </x:c>
      <x:c r="L55" s="53" t="n">
        <x:f>IFERROR(K55/J55*100,0)</x:f>
        <x:v>16.53454133635335</x:v>
      </x:c>
      <x:c r="M55" t="str">
        <x:f>IF(L55&gt;0,"Overpriced",IF(L55&lt;0,"Underpriced","At benchmark"))</x:f>
        <x:v>Overpriced</x:v>
      </x:c>
      <x:c r="N55" t="n">
        <x:v>1</x:v>
      </x:c>
      <x:c r="O55" t="n">
        <x:v>266</x:v>
      </x:c>
      <x:c r="P55" s="53" t="n">
        <x:f>IFERROR((F55-O55)/O55*100,"")</x:f>
        <x:v>28.947368421052634</x:v>
      </x:c>
      <x:c r="Q55" t="str">
        <x:v>Low stock</x:v>
      </x:c>
      <x:c r="R55" t="n">
        <x:v>314</x:v>
      </x:c>
      <x:c r="S55" t="str">
        <x:v>315, 316, 317</x:v>
      </x:c>
      <x:c r="T55" t="str">
        <x:v>Quick-commerce app</x:v>
      </x:c>
      <x:c r="U55" t="str">
        <x:v>Own website</x:v>
      </x:c>
      <x:c r="V55" t="str">
        <x:v>Marketplace</x:v>
      </x:c>
    </x:row>
    <x:row r="56" ht="15" hidden="0" customHeight="1">
      <x:c r="A56" t="str">
        <x:v>OBS-020</x:v>
      </x:c>
      <x:c r="B56" s="70" t="n">
        <x:v>46006</x:v>
      </x:c>
      <x:c r="C56" t="str">
        <x:v>Home &amp; Kitchen</x:v>
      </x:c>
      <x:c r="D56" t="str">
        <x:v>Non-stick Cookware Set</x:v>
      </x:c>
      <x:c r="E56" t="str">
        <x:v>Quick-commerce app</x:v>
      </x:c>
      <x:c r="F56" s="72" t="n">
        <x:v>2040</x:v>
      </x:c>
      <x:c r="G56" s="72" t="n">
        <x:v>1924</x:v>
      </x:c>
      <x:c r="H56" s="72" t="n">
        <x:v>2112</x:v>
      </x:c>
      <x:c r="I56" s="72" t="n">
        <x:v>1998</x:v>
      </x:c>
      <x:c r="J56" s="72" t="n">
        <x:f>AVERAGE(G56:I56)</x:f>
        <x:v>2011.3333333333333</x:v>
      </x:c>
      <x:c r="K56" s="72" t="n">
        <x:f>F56-J56</x:f>
        <x:v>28.666666666666742</x:v>
      </x:c>
      <x:c r="L56" s="53" t="n">
        <x:f>IFERROR(K56/J56*100,0)</x:f>
        <x:v>1.4252568776930765</x:v>
      </x:c>
      <x:c r="M56" t="str">
        <x:f>IF(L56&gt;0,"Overpriced",IF(L56&lt;0,"Underpriced","At benchmark"))</x:f>
        <x:v>Overpriced</x:v>
      </x:c>
      <x:c r="N56" t="n">
        <x:v>1</x:v>
      </x:c>
      <x:c r="O56" t="n">
        <x:v>1924</x:v>
      </x:c>
      <x:c r="P56" s="53" t="n">
        <x:f>IFERROR((F56-O56)/O56*100,"")</x:f>
        <x:v>6.029106029106029</x:v>
      </x:c>
      <x:c r="Q56" t="str">
        <x:v>Out of stock</x:v>
      </x:c>
      <x:c r="R56" t="n">
        <x:v>78</x:v>
      </x:c>
      <x:c r="S56" t="str">
        <x:v>79, 80, 81</x:v>
      </x:c>
      <x:c r="T56" t="str">
        <x:v>Quick-commerce app</x:v>
      </x:c>
      <x:c r="U56" t="str">
        <x:v>Marketplace</x:v>
      </x:c>
      <x:c r="V56" t="str">
        <x:v>Own website</x:v>
      </x:c>
    </x:row>
    <x:row r="57" ht="15" hidden="0" customHeight="1">
      <x:c r="A57" t="str">
        <x:v>OBS-034</x:v>
      </x:c>
      <x:c r="B57" s="70" t="n">
        <x:v>46020</x:v>
      </x:c>
      <x:c r="C57" t="str">
        <x:v>Beauty</x:v>
      </x:c>
      <x:c r="D57" t="str">
        <x:v>Lipstick</x:v>
      </x:c>
      <x:c r="E57" t="str">
        <x:v>Quick-commerce app</x:v>
      </x:c>
      <x:c r="F57" s="72" t="n">
        <x:v>561</x:v>
      </x:c>
      <x:c r="G57" s="72" t="n">
        <x:v>577</x:v>
      </x:c>
      <x:c r="H57" s="72" t="n">
        <x:v>465</x:v>
      </x:c>
      <x:c r="I57" s="72" t="n">
        <x:v>475</x:v>
      </x:c>
      <x:c r="J57" s="72" t="n">
        <x:f>AVERAGE(G57:I57)</x:f>
        <x:v>505.6666666666667</x:v>
      </x:c>
      <x:c r="K57" s="72" t="n">
        <x:f>F57-J57</x:f>
        <x:v>55.333333333333314</x:v>
      </x:c>
      <x:c r="L57" s="53" t="n">
        <x:f>IFERROR(K57/J57*100,0)</x:f>
        <x:v>10.942649967040206</x:v>
      </x:c>
      <x:c r="M57" t="str">
        <x:f>IF(L57&gt;0,"Overpriced",IF(L57&lt;0,"Underpriced","At benchmark"))</x:f>
        <x:v>Overpriced</x:v>
      </x:c>
      <x:c r="N57" t="n">
        <x:v>0</x:v>
      </x:c>
      <x:c r="O57"/>
      <x:c r="P57" s="53" t="str">
        <x:f>IFERROR((F57-O57)/O57*100,"")</x:f>
      </x:c>
      <x:c r="Q57" t="str">
        <x:v>Low stock</x:v>
      </x:c>
      <x:c r="R57" t="n">
        <x:v>134</x:v>
      </x:c>
      <x:c r="S57" t="str">
        <x:v>135, 136, 137</x:v>
      </x:c>
      <x:c r="T57" t="str">
        <x:v>Own website</x:v>
      </x:c>
      <x:c r="U57" t="str">
        <x:v>Own website</x:v>
      </x:c>
      <x:c r="V57" t="str">
        <x:v>Marketplace</x:v>
      </x:c>
    </x:row>
    <x:row r="58" ht="15" hidden="0" customHeight="1">
      <x:c r="A58" t="str">
        <x:v>OBS-089</x:v>
      </x:c>
      <x:c r="B58" s="70" t="n">
        <x:v>46020</x:v>
      </x:c>
      <x:c r="C58" t="str">
        <x:v>Beauty</x:v>
      </x:c>
      <x:c r="D58" t="str">
        <x:v>Sunscreen SPF 50</x:v>
      </x:c>
      <x:c r="E58" t="str">
        <x:v>Own website</x:v>
      </x:c>
      <x:c r="F58" s="72" t="n">
        <x:v>762</x:v>
      </x:c>
      <x:c r="G58" s="72" t="n">
        <x:v>755</x:v>
      </x:c>
      <x:c r="H58" s="72" t="n">
        <x:v>795</x:v>
      </x:c>
      <x:c r="I58" s="72" t="n">
        <x:v>666</x:v>
      </x:c>
      <x:c r="J58" s="72" t="n">
        <x:f>AVERAGE(G58:I58)</x:f>
        <x:v>738.6666666666666</x:v>
      </x:c>
      <x:c r="K58" s="72" t="n">
        <x:f>F58-J58</x:f>
        <x:v>23.33333333333337</x:v>
      </x:c>
      <x:c r="L58" s="53" t="n">
        <x:f>IFERROR(K58/J58*100,0)</x:f>
        <x:v>3.1588447653429657</x:v>
      </x:c>
      <x:c r="M58" t="str">
        <x:f>IF(L58&gt;0,"Overpriced",IF(L58&lt;0,"Underpriced","At benchmark"))</x:f>
        <x:v>Overpriced</x:v>
      </x:c>
      <x:c r="N58" t="n">
        <x:v>0</x:v>
      </x:c>
      <x:c r="O58"/>
      <x:c r="P58" s="53" t="str">
        <x:f>IFERROR((F58-O58)/O58*100,"")</x:f>
      </x:c>
      <x:c r="Q58" t="str">
        <x:v>Low stock</x:v>
      </x:c>
      <x:c r="R58" t="n">
        <x:v>354</x:v>
      </x:c>
      <x:c r="S58" t="str">
        <x:v>355, 356, 357</x:v>
      </x:c>
      <x:c r="T58" t="str">
        <x:v>Quick-commerce app</x:v>
      </x:c>
      <x:c r="U58" t="str">
        <x:v>Marketplace</x:v>
      </x:c>
      <x:c r="V58" t="str">
        <x:v>Marketplace</x:v>
      </x:c>
    </x:row>
    <x:row r="59" ht="15" hidden="0" customHeight="1">
      <x:c r="A59" t="str">
        <x:v>OBS-043</x:v>
      </x:c>
      <x:c r="B59" s="70" t="n">
        <x:v>46020</x:v>
      </x:c>
      <x:c r="C59" t="str">
        <x:v>Grocery</x:v>
      </x:c>
      <x:c r="D59" t="str">
        <x:v>Organic Jaggery 1kg</x:v>
      </x:c>
      <x:c r="E59" t="str">
        <x:v>Own website</x:v>
      </x:c>
      <x:c r="F59" s="72" t="n">
        <x:v>157</x:v>
      </x:c>
      <x:c r="G59" s="72" t="n">
        <x:v>156</x:v>
      </x:c>
      <x:c r="H59" s="72" t="n">
        <x:v>141</x:v>
      </x:c>
      <x:c r="I59" s="72" t="n">
        <x:v>158</x:v>
      </x:c>
      <x:c r="J59" s="72" t="n">
        <x:f>AVERAGE(G59:I59)</x:f>
        <x:v>151.66666666666666</x:v>
      </x:c>
      <x:c r="K59" s="72" t="n">
        <x:f>F59-J59</x:f>
        <x:v>5.333333333333343</x:v>
      </x:c>
      <x:c r="L59" s="53" t="n">
        <x:f>IFERROR(K59/J59*100,0)</x:f>
        <x:v>3.5164835164835226</x:v>
      </x:c>
      <x:c r="M59" t="str">
        <x:f>IF(L59&gt;0,"Overpriced",IF(L59&lt;0,"Underpriced","At benchmark"))</x:f>
        <x:v>Overpriced</x:v>
      </x:c>
      <x:c r="N59" t="n">
        <x:v>0</x:v>
      </x:c>
      <x:c r="O59"/>
      <x:c r="P59" s="53" t="str">
        <x:f>IFERROR((F59-O59)/O59*100,"")</x:f>
      </x:c>
      <x:c r="Q59" t="str">
        <x:v>In stock</x:v>
      </x:c>
      <x:c r="R59" t="n">
        <x:v>170</x:v>
      </x:c>
      <x:c r="S59" t="str">
        <x:v>171, 172, 173</x:v>
      </x:c>
      <x:c r="T59" t="str">
        <x:v>Marketplace</x:v>
      </x:c>
      <x:c r="U59" t="str">
        <x:v>Marketplace</x:v>
      </x:c>
      <x:c r="V59" t="str">
        <x:v>Marketplace</x:v>
      </x:c>
    </x:row>
    <x:row r="60" ht="15" hidden="0" customHeight="1">
      <x:c r="A60" t="str">
        <x:v>OBS-068</x:v>
      </x:c>
      <x:c r="B60" s="70" t="n">
        <x:v>46020</x:v>
      </x:c>
      <x:c r="C60" t="str">
        <x:v>Grocery</x:v>
      </x:c>
      <x:c r="D60" t="str">
        <x:v>Organic Jaggery 1kg</x:v>
      </x:c>
      <x:c r="E60" t="str">
        <x:v>Own website</x:v>
      </x:c>
      <x:c r="F60" s="72" t="n">
        <x:v>107</x:v>
      </x:c>
      <x:c r="G60" s="72" t="n">
        <x:v>121</x:v>
      </x:c>
      <x:c r="H60" s="72" t="n">
        <x:v>128</x:v>
      </x:c>
      <x:c r="I60" s="72" t="n">
        <x:v>103</x:v>
      </x:c>
      <x:c r="J60" s="72" t="n">
        <x:f>AVERAGE(G60:I60)</x:f>
        <x:v>117.33333333333333</x:v>
      </x:c>
      <x:c r="K60" s="72" t="n">
        <x:f>F60-J60</x:f>
        <x:v>-10.333333333333329</x:v>
      </x:c>
      <x:c r="L60" s="53" t="n">
        <x:f>IFERROR(K60/J60*100,0)</x:f>
        <x:v>-8.806818181818178</x:v>
      </x:c>
      <x:c r="M60" t="str">
        <x:f>IF(L60&gt;0,"Overpriced",IF(L60&lt;0,"Underpriced","At benchmark"))</x:f>
        <x:v>Underpriced</x:v>
      </x:c>
      <x:c r="N60" t="n">
        <x:v>0</x:v>
      </x:c>
      <x:c r="O60"/>
      <x:c r="P60" s="53" t="str">
        <x:f>IFERROR((F60-O60)/O60*100,"")</x:f>
      </x:c>
      <x:c r="Q60" t="str">
        <x:v>In stock</x:v>
      </x:c>
      <x:c r="R60" t="n">
        <x:v>270</x:v>
      </x:c>
      <x:c r="S60" t="str">
        <x:v>271, 272, 273</x:v>
      </x:c>
      <x:c r="T60" t="str">
        <x:v>Quick-commerce app</x:v>
      </x:c>
      <x:c r="U60" t="str">
        <x:v>Quick-commerce app</x:v>
      </x:c>
      <x:c r="V60" t="str">
        <x:v>Marketplace</x:v>
      </x:c>
    </x:row>
    <x:row r="61" ht="15" hidden="0" customHeight="1">
      <x:c r="A61" t="str">
        <x:v>OBS-073</x:v>
      </x:c>
      <x:c r="B61" s="70" t="n">
        <x:v>46020</x:v>
      </x:c>
      <x:c r="C61" t="str">
        <x:v>Grocery</x:v>
      </x:c>
      <x:c r="D61" t="str">
        <x:v>Organic Jaggery 1kg</x:v>
      </x:c>
      <x:c r="E61" t="str">
        <x:v>Quick-commerce app</x:v>
      </x:c>
      <x:c r="F61" s="72" t="n">
        <x:v>144</x:v>
      </x:c>
      <x:c r="G61" s="72" t="n">
        <x:v>167</x:v>
      </x:c>
      <x:c r="H61" s="72" t="n">
        <x:v>158</x:v>
      </x:c>
      <x:c r="I61" s="72" t="n">
        <x:v>163</x:v>
      </x:c>
      <x:c r="J61" s="72" t="n">
        <x:f>AVERAGE(G61:I61)</x:f>
        <x:v>162.66666666666666</x:v>
      </x:c>
      <x:c r="K61" s="72" t="n">
        <x:f>F61-J61</x:f>
        <x:v>-18.666666666666657</x:v>
      </x:c>
      <x:c r="L61" s="53" t="n">
        <x:f>IFERROR(K61/J61*100,0)</x:f>
        <x:v>-11.475409836065568</x:v>
      </x:c>
      <x:c r="M61" t="str">
        <x:f>IF(L61&gt;0,"Overpriced",IF(L61&lt;0,"Underpriced","At benchmark"))</x:f>
        <x:v>Underpriced</x:v>
      </x:c>
      <x:c r="N61" t="n">
        <x:v>1</x:v>
      </x:c>
      <x:c r="O61" t="n">
        <x:v>167</x:v>
      </x:c>
      <x:c r="P61" s="53" t="n">
        <x:f>IFERROR((F61-O61)/O61*100,"")</x:f>
        <x:v>-13.77245508982036</x:v>
      </x:c>
      <x:c r="Q61" t="str">
        <x:v>Out of stock</x:v>
      </x:c>
      <x:c r="R61" t="n">
        <x:v>290</x:v>
      </x:c>
      <x:c r="S61" t="str">
        <x:v>291, 292, 293</x:v>
      </x:c>
      <x:c r="T61" t="str">
        <x:v>Quick-commerce app</x:v>
      </x:c>
      <x:c r="U61" t="str">
        <x:v>Own website</x:v>
      </x:c>
      <x:c r="V61" t="str">
        <x:v>Marketplace</x:v>
      </x:c>
    </x:row>
    <x:row r="62" ht="15" hidden="0" customHeight="1">
      <x:c r="A62" t="str">
        <x:v>OBS-022</x:v>
      </x:c>
      <x:c r="B62" s="70" t="n">
        <x:v>46020</x:v>
      </x:c>
      <x:c r="C62" t="str">
        <x:v>Home &amp; Kitchen</x:v>
      </x:c>
      <x:c r="D62" t="str">
        <x:v>Pressure Cooker 5L</x:v>
      </x:c>
      <x:c r="E62" t="str">
        <x:v>Own website</x:v>
      </x:c>
      <x:c r="F62" s="72" t="n">
        <x:v>1973</x:v>
      </x:c>
      <x:c r="G62" s="72" t="n">
        <x:v>1756</x:v>
      </x:c>
      <x:c r="H62" s="72" t="n">
        <x:v>1702</x:v>
      </x:c>
      <x:c r="I62" s="72" t="n">
        <x:v>1900</x:v>
      </x:c>
      <x:c r="J62" s="72" t="n">
        <x:f>AVERAGE(G62:I62)</x:f>
        <x:v>1786</x:v>
      </x:c>
      <x:c r="K62" s="72" t="n">
        <x:f>F62-J62</x:f>
        <x:v>187</x:v>
      </x:c>
      <x:c r="L62" s="53" t="n">
        <x:f>IFERROR(K62/J62*100,0)</x:f>
        <x:v>10.470324748040314</x:v>
      </x:c>
      <x:c r="M62" t="str">
        <x:f>IF(L62&gt;0,"Overpriced",IF(L62&lt;0,"Underpriced","At benchmark"))</x:f>
        <x:v>Overpriced</x:v>
      </x:c>
      <x:c r="N62" t="n">
        <x:v>3</x:v>
      </x:c>
      <x:c r="O62" t="n">
        <x:v>1786</x:v>
      </x:c>
      <x:c r="P62" s="53" t="n">
        <x:f>IFERROR((F62-O62)/O62*100,"")</x:f>
        <x:v>10.470324748040314</x:v>
      </x:c>
      <x:c r="Q62" t="str">
        <x:v>In stock</x:v>
      </x:c>
      <x:c r="R62" t="n">
        <x:v>86</x:v>
      </x:c>
      <x:c r="S62" t="str">
        <x:v>87, 88, 89</x:v>
      </x:c>
      <x:c r="T62" t="str">
        <x:v>Own website</x:v>
      </x:c>
      <x:c r="U62" t="str">
        <x:v>Own website</x:v>
      </x:c>
      <x:c r="V62" t="str">
        <x:v>Own website</x:v>
      </x:c>
    </x:row>
    <x:row r="63" ht="15" hidden="0" customHeight="1">
      <x:c r="A63" t="str">
        <x:v>OBS-009</x:v>
      </x:c>
      <x:c r="B63" s="70" t="n">
        <x:v>46027</x:v>
      </x:c>
      <x:c r="C63" t="str">
        <x:v>Grocery</x:v>
      </x:c>
      <x:c r="D63" t="str">
        <x:v>Cold-pressed Oil 1L</x:v>
      </x:c>
      <x:c r="E63" t="str">
        <x:v>Marketplace</x:v>
      </x:c>
      <x:c r="F63" s="72" t="n">
        <x:v>327</x:v>
      </x:c>
      <x:c r="G63" s="72" t="n">
        <x:v>374</x:v>
      </x:c>
      <x:c r="H63" s="72" t="n">
        <x:v>305</x:v>
      </x:c>
      <x:c r="I63" s="72" t="n">
        <x:v>291</x:v>
      </x:c>
      <x:c r="J63" s="72" t="n">
        <x:f>AVERAGE(G63:I63)</x:f>
        <x:v>323.3333333333333</x:v>
      </x:c>
      <x:c r="K63" s="72" t="n">
        <x:f>F63-J63</x:f>
        <x:v>3.6666666666666856</x:v>
      </x:c>
      <x:c r="L63" s="53" t="n">
        <x:f>IFERROR(K63/J63*100,0)</x:f>
        <x:v>1.134020618556707</x:v>
      </x:c>
      <x:c r="M63" t="str">
        <x:f>IF(L63&gt;0,"Overpriced",IF(L63&lt;0,"Underpriced","At benchmark"))</x:f>
        <x:v>Overpriced</x:v>
      </x:c>
      <x:c r="N63" t="n">
        <x:v>0</x:v>
      </x:c>
      <x:c r="O63"/>
      <x:c r="P63" s="53" t="str">
        <x:f>IFERROR((F63-O63)/O63*100,"")</x:f>
      </x:c>
      <x:c r="Q63" t="str">
        <x:v>Low stock</x:v>
      </x:c>
      <x:c r="R63" t="n">
        <x:v>34</x:v>
      </x:c>
      <x:c r="S63" t="str">
        <x:v>35, 36, 37</x:v>
      </x:c>
      <x:c r="T63" t="str">
        <x:v>Own website</x:v>
      </x:c>
      <x:c r="U63" t="str">
        <x:v>Quick-commerce app</x:v>
      </x:c>
      <x:c r="V63" t="str">
        <x:v>Quick-commerce app</x:v>
      </x:c>
    </x:row>
    <x:row r="64" ht="15" hidden="0" customHeight="1">
      <x:c r="A64" t="str">
        <x:v>OBS-014</x:v>
      </x:c>
      <x:c r="B64" s="70" t="n">
        <x:v>46027</x:v>
      </x:c>
      <x:c r="C64" t="str">
        <x:v>Home &amp; Kitchen</x:v>
      </x:c>
      <x:c r="D64" t="str">
        <x:v>Air Fryer</x:v>
      </x:c>
      <x:c r="E64" t="str">
        <x:v>Own website</x:v>
      </x:c>
      <x:c r="F64" s="72" t="n">
        <x:v>4690</x:v>
      </x:c>
      <x:c r="G64" s="72" t="n">
        <x:v>4200</x:v>
      </x:c>
      <x:c r="H64" s="72" t="n">
        <x:v>5636</x:v>
      </x:c>
      <x:c r="I64" s="72" t="n">
        <x:v>4588</x:v>
      </x:c>
      <x:c r="J64" s="72" t="n">
        <x:f>AVERAGE(G64:I64)</x:f>
        <x:v>4808</x:v>
      </x:c>
      <x:c r="K64" s="72" t="n">
        <x:f>F64-J64</x:f>
        <x:v>-118</x:v>
      </x:c>
      <x:c r="L64" s="53" t="n">
        <x:f>IFERROR(K64/J64*100,0)</x:f>
        <x:v>-2.454242928452579</x:v>
      </x:c>
      <x:c r="M64" t="str">
        <x:f>IF(L64&gt;0,"Overpriced",IF(L64&lt;0,"Underpriced","At benchmark"))</x:f>
        <x:v>Underpriced</x:v>
      </x:c>
      <x:c r="N64" t="n">
        <x:v>2</x:v>
      </x:c>
      <x:c r="O64" t="n">
        <x:v>4394</x:v>
      </x:c>
      <x:c r="P64" s="53" t="n">
        <x:f>IFERROR((F64-O64)/O64*100,"")</x:f>
        <x:v>6.736458807464725</x:v>
      </x:c>
      <x:c r="Q64" t="str">
        <x:v>Low stock</x:v>
      </x:c>
      <x:c r="R64" t="n">
        <x:v>54</x:v>
      </x:c>
      <x:c r="S64" t="str">
        <x:v>55, 56, 57</x:v>
      </x:c>
      <x:c r="T64" t="str">
        <x:v>Own website</x:v>
      </x:c>
      <x:c r="U64" t="str">
        <x:v>Quick-commerce app</x:v>
      </x:c>
      <x:c r="V64" t="str">
        <x:v>Own website</x:v>
      </x:c>
    </x:row>
    <x:row r="65" ht="15" hidden="0" customHeight="1">
      <x:c r="A65" t="str">
        <x:v>OBS-095</x:v>
      </x:c>
      <x:c r="B65" s="70" t="n">
        <x:v>46027</x:v>
      </x:c>
      <x:c r="C65" t="str">
        <x:v>Home &amp; Kitchen</x:v>
      </x:c>
      <x:c r="D65" t="str">
        <x:v>Non-stick Cookware Set</x:v>
      </x:c>
      <x:c r="E65" t="str">
        <x:v>Marketplace</x:v>
      </x:c>
      <x:c r="F65" s="72" t="n">
        <x:v>2973</x:v>
      </x:c>
      <x:c r="G65" s="72" t="n">
        <x:v>3338</x:v>
      </x:c>
      <x:c r="H65" s="72" t="n">
        <x:v>3836</x:v>
      </x:c>
      <x:c r="I65" s="72" t="n">
        <x:v>3400</x:v>
      </x:c>
      <x:c r="J65" s="72" t="n">
        <x:f>AVERAGE(G65:I65)</x:f>
        <x:v>3524.6666666666665</x:v>
      </x:c>
      <x:c r="K65" s="72" t="n">
        <x:f>F65-J65</x:f>
        <x:v>-551.6666666666665</x:v>
      </x:c>
      <x:c r="L65" s="53" t="n">
        <x:f>IFERROR(K65/J65*100,0)</x:f>
        <x:v>-15.651598259882727</x:v>
      </x:c>
      <x:c r="M65" t="str">
        <x:f>IF(L65&gt;0,"Overpriced",IF(L65&lt;0,"Underpriced","At benchmark"))</x:f>
        <x:v>Underpriced</x:v>
      </x:c>
      <x:c r="N65" t="n">
        <x:v>0</x:v>
      </x:c>
      <x:c r="O65"/>
      <x:c r="P65" s="53" t="str">
        <x:f>IFERROR((F65-O65)/O65*100,"")</x:f>
      </x:c>
      <x:c r="Q65" t="str">
        <x:v>In stock</x:v>
      </x:c>
      <x:c r="R65" t="n">
        <x:v>378</x:v>
      </x:c>
      <x:c r="S65" t="str">
        <x:v>379, 380, 381</x:v>
      </x:c>
      <x:c r="T65" t="str">
        <x:v>Quick-commerce app</x:v>
      </x:c>
      <x:c r="U65" t="str">
        <x:v>Quick-commerce app</x:v>
      </x:c>
      <x:c r="V65" t="str">
        <x:v>Own website</x:v>
      </x:c>
    </x:row>
    <x:row r="66" ht="15" hidden="0" customHeight="1">
      <x:c r="A66" t="str">
        <x:v>OBS-027</x:v>
      </x:c>
      <x:c r="B66" s="70" t="n">
        <x:v>46027</x:v>
      </x:c>
      <x:c r="C66" t="str">
        <x:v>Home &amp; Kitchen</x:v>
      </x:c>
      <x:c r="D66" t="str">
        <x:v>Pressure Cooker 5L</x:v>
      </x:c>
      <x:c r="E66" t="str">
        <x:v>Own website</x:v>
      </x:c>
      <x:c r="F66" s="72" t="n">
        <x:v>2162</x:v>
      </x:c>
      <x:c r="G66" s="72" t="n">
        <x:v>1997</x:v>
      </x:c>
      <x:c r="H66" s="72" t="n">
        <x:v>2560</x:v>
      </x:c>
      <x:c r="I66" s="72" t="n">
        <x:v>2058</x:v>
      </x:c>
      <x:c r="J66" s="72" t="n">
        <x:f>AVERAGE(G66:I66)</x:f>
        <x:v>2205</x:v>
      </x:c>
      <x:c r="K66" s="72" t="n">
        <x:f>F66-J66</x:f>
        <x:v>-43</x:v>
      </x:c>
      <x:c r="L66" s="53" t="n">
        <x:f>IFERROR(K66/J66*100,0)</x:f>
        <x:v>-1.9501133786848073</x:v>
      </x:c>
      <x:c r="M66" t="str">
        <x:f>IF(L66&gt;0,"Overpriced",IF(L66&lt;0,"Underpriced","At benchmark"))</x:f>
        <x:v>Underpriced</x:v>
      </x:c>
      <x:c r="N66" t="n">
        <x:v>1</x:v>
      </x:c>
      <x:c r="O66" t="n">
        <x:v>2058</x:v>
      </x:c>
      <x:c r="P66" s="53" t="n">
        <x:f>IFERROR((F66-O66)/O66*100,"")</x:f>
        <x:v>5.053449951409135</x:v>
      </x:c>
      <x:c r="Q66" t="str">
        <x:v>In stock</x:v>
      </x:c>
      <x:c r="R66" t="n">
        <x:v>106</x:v>
      </x:c>
      <x:c r="S66" t="str">
        <x:v>107, 108, 109</x:v>
      </x:c>
      <x:c r="T66" t="str">
        <x:v>Marketplace</x:v>
      </x:c>
      <x:c r="U66" t="str">
        <x:v>Quick-commerce app</x:v>
      </x:c>
      <x:c r="V66" t="str">
        <x:v>Own website</x:v>
      </x:c>
    </x:row>
    <x:row r="67" ht="15" hidden="0" customHeight="1">
      <x:c r="A67" t="str">
        <x:v>OBS-086</x:v>
      </x:c>
      <x:c r="B67" s="70" t="n">
        <x:v>46027</x:v>
      </x:c>
      <x:c r="C67" t="str">
        <x:v>Home &amp; Kitchen</x:v>
      </x:c>
      <x:c r="D67" t="str">
        <x:v>Steel Water Bottle</x:v>
      </x:c>
      <x:c r="E67" t="str">
        <x:v>Quick-commerce app</x:v>
      </x:c>
      <x:c r="F67" s="72" t="n">
        <x:v>604</x:v>
      </x:c>
      <x:c r="G67" s="72" t="n">
        <x:v>513</x:v>
      </x:c>
      <x:c r="H67" s="72" t="n">
        <x:v>502</x:v>
      </x:c>
      <x:c r="I67" s="72" t="n">
        <x:v>599</x:v>
      </x:c>
      <x:c r="J67" s="72" t="n">
        <x:f>AVERAGE(G67:I67)</x:f>
        <x:v>538</x:v>
      </x:c>
      <x:c r="K67" s="72" t="n">
        <x:f>F67-J67</x:f>
        <x:v>66</x:v>
      </x:c>
      <x:c r="L67" s="53" t="n">
        <x:f>IFERROR(K67/J67*100,0)</x:f>
        <x:v>12.267657992565056</x:v>
      </x:c>
      <x:c r="M67" t="str">
        <x:f>IF(L67&gt;0,"Overpriced",IF(L67&lt;0,"Underpriced","At benchmark"))</x:f>
        <x:v>Overpriced</x:v>
      </x:c>
      <x:c r="N67" t="n">
        <x:v>0</x:v>
      </x:c>
      <x:c r="O67"/>
      <x:c r="P67" s="53" t="str">
        <x:f>IFERROR((F67-O67)/O67*100,"")</x:f>
      </x:c>
      <x:c r="Q67" t="str">
        <x:v>In stock</x:v>
      </x:c>
      <x:c r="R67" t="n">
        <x:v>342</x:v>
      </x:c>
      <x:c r="S67" t="str">
        <x:v>343, 344, 345</x:v>
      </x:c>
      <x:c r="T67" t="str">
        <x:v>Marketplace</x:v>
      </x:c>
      <x:c r="U67" t="str">
        <x:v>Marketplace</x:v>
      </x:c>
      <x:c r="V67" t="str">
        <x:v>Own website</x:v>
      </x:c>
    </x:row>
    <x:row r="68" ht="15" hidden="0" customHeight="1">
      <x:c r="A68" t="str">
        <x:v>OBS-059</x:v>
      </x:c>
      <x:c r="B68" s="70" t="n">
        <x:v>46034</x:v>
      </x:c>
      <x:c r="C68" t="str">
        <x:v>Fashion</x:v>
      </x:c>
      <x:c r="D68" t="str">
        <x:v>Running Shoes</x:v>
      </x:c>
      <x:c r="E68" t="str">
        <x:v>Own website</x:v>
      </x:c>
      <x:c r="F68" s="72" t="n">
        <x:v>3694</x:v>
      </x:c>
      <x:c r="G68" s="72" t="n">
        <x:v>3557</x:v>
      </x:c>
      <x:c r="H68" s="72" t="n">
        <x:v>3234</x:v>
      </x:c>
      <x:c r="I68" s="72" t="n">
        <x:v>3217</x:v>
      </x:c>
      <x:c r="J68" s="72" t="n">
        <x:f>AVERAGE(G68:I68)</x:f>
        <x:v>3336</x:v>
      </x:c>
      <x:c r="K68" s="72" t="n">
        <x:f>F68-J68</x:f>
        <x:v>358</x:v>
      </x:c>
      <x:c r="L68" s="53" t="n">
        <x:f>IFERROR(K68/J68*100,0)</x:f>
        <x:v>10.731414868105515</x:v>
      </x:c>
      <x:c r="M68" t="str">
        <x:f>IF(L68&gt;0,"Overpriced",IF(L68&lt;0,"Underpriced","At benchmark"))</x:f>
        <x:v>Overpriced</x:v>
      </x:c>
      <x:c r="N68" t="n">
        <x:v>1</x:v>
      </x:c>
      <x:c r="O68" t="n">
        <x:v>3234</x:v>
      </x:c>
      <x:c r="P68" s="53" t="n">
        <x:f>IFERROR((F68-O68)/O68*100,"")</x:f>
        <x:v>14.22387136672851</x:v>
      </x:c>
      <x:c r="Q68" t="str">
        <x:v>Out of stock</x:v>
      </x:c>
      <x:c r="R68" t="n">
        <x:v>234</x:v>
      </x:c>
      <x:c r="S68" t="str">
        <x:v>235, 236, 237</x:v>
      </x:c>
      <x:c r="T68" t="str">
        <x:v>Marketplace</x:v>
      </x:c>
      <x:c r="U68" t="str">
        <x:v>Own website</x:v>
      </x:c>
      <x:c r="V68" t="str">
        <x:v>Marketplace</x:v>
      </x:c>
    </x:row>
    <x:row r="69" ht="15" hidden="0" customHeight="1">
      <x:c r="A69" t="str">
        <x:v>OBS-090</x:v>
      </x:c>
      <x:c r="B69" s="70" t="n">
        <x:v>46034</x:v>
      </x:c>
      <x:c r="C69" t="str">
        <x:v>Grocery</x:v>
      </x:c>
      <x:c r="D69" t="str">
        <x:v>Cold-pressed Oil 1L</x:v>
      </x:c>
      <x:c r="E69" t="str">
        <x:v>Marketplace</x:v>
      </x:c>
      <x:c r="F69" s="72" t="n">
        <x:v>315</x:v>
      </x:c>
      <x:c r="G69" s="72" t="n">
        <x:v>332</x:v>
      </x:c>
      <x:c r="H69" s="72" t="n">
        <x:v>299</x:v>
      </x:c>
      <x:c r="I69" s="72" t="n">
        <x:v>324</x:v>
      </x:c>
      <x:c r="J69" s="72" t="n">
        <x:f>AVERAGE(G69:I69)</x:f>
        <x:v>318.3333333333333</x:v>
      </x:c>
      <x:c r="K69" s="72" t="n">
        <x:f>F69-J69</x:f>
        <x:v>-3.3333333333333144</x:v>
      </x:c>
      <x:c r="L69" s="53" t="n">
        <x:f>IFERROR(K69/J69*100,0)</x:f>
        <x:v>-1.0471204188481618</x:v>
      </x:c>
      <x:c r="M69" t="str">
        <x:f>IF(L69&gt;0,"Overpriced",IF(L69&lt;0,"Underpriced","At benchmark"))</x:f>
        <x:v>Underpriced</x:v>
      </x:c>
      <x:c r="N69" t="n">
        <x:v>1</x:v>
      </x:c>
      <x:c r="O69" t="n">
        <x:v>324</x:v>
      </x:c>
      <x:c r="P69" s="53" t="n">
        <x:f>IFERROR((F69-O69)/O69*100,"")</x:f>
        <x:v>-2.7777777777777777</x:v>
      </x:c>
      <x:c r="Q69" t="str">
        <x:v>Low stock</x:v>
      </x:c>
      <x:c r="R69" t="n">
        <x:v>358</x:v>
      </x:c>
      <x:c r="S69" t="str">
        <x:v>359, 360, 361</x:v>
      </x:c>
      <x:c r="T69" t="str">
        <x:v>Quick-commerce app</x:v>
      </x:c>
      <x:c r="U69" t="str">
        <x:v>Quick-commerce app</x:v>
      </x:c>
      <x:c r="V69" t="str">
        <x:v>Marketplace</x:v>
      </x:c>
    </x:row>
    <x:row r="70" ht="15" hidden="0" customHeight="1">
      <x:c r="A70" t="str">
        <x:v>OBS-004</x:v>
      </x:c>
      <x:c r="B70" s="70" t="n">
        <x:v>46034</x:v>
      </x:c>
      <x:c r="C70" t="str">
        <x:v>Grocery</x:v>
      </x:c>
      <x:c r="D70" t="str">
        <x:v>Green Tea 100 bags</x:v>
      </x:c>
      <x:c r="E70" t="str">
        <x:v>Quick-commerce app</x:v>
      </x:c>
      <x:c r="F70" s="72" t="n">
        <x:v>294</x:v>
      </x:c>
      <x:c r="G70" s="72" t="n">
        <x:v>352</x:v>
      </x:c>
      <x:c r="H70" s="72" t="n">
        <x:v>298</x:v>
      </x:c>
      <x:c r="I70" s="72" t="n">
        <x:v>352</x:v>
      </x:c>
      <x:c r="J70" s="72" t="n">
        <x:f>AVERAGE(G70:I70)</x:f>
        <x:v>334</x:v>
      </x:c>
      <x:c r="K70" s="72" t="n">
        <x:f>F70-J70</x:f>
        <x:v>-40</x:v>
      </x:c>
      <x:c r="L70" s="53" t="n">
        <x:f>IFERROR(K70/J70*100,0)</x:f>
        <x:v>-11.976047904191617</x:v>
      </x:c>
      <x:c r="M70" t="str">
        <x:f>IF(L70&gt;0,"Overpriced",IF(L70&lt;0,"Underpriced","At benchmark"))</x:f>
        <x:v>Underpriced</x:v>
      </x:c>
      <x:c r="N70" t="n">
        <x:v>1</x:v>
      </x:c>
      <x:c r="O70" t="n">
        <x:v>352</x:v>
      </x:c>
      <x:c r="P70" s="53" t="n">
        <x:f>IFERROR((F70-O70)/O70*100,"")</x:f>
        <x:v>-16.477272727272727</x:v>
      </x:c>
      <x:c r="Q70" t="str">
        <x:v>Out of stock</x:v>
      </x:c>
      <x:c r="R70" t="n">
        <x:v>14</x:v>
      </x:c>
      <x:c r="S70" t="str">
        <x:v>15, 16, 17</x:v>
      </x:c>
      <x:c r="T70" t="str">
        <x:v>Quick-commerce app</x:v>
      </x:c>
      <x:c r="U70" t="str">
        <x:v>Marketplace</x:v>
      </x:c>
      <x:c r="V70" t="str">
        <x:v>Marketplace</x:v>
      </x:c>
    </x:row>
    <x:row r="71" ht="15" hidden="0" customHeight="1">
      <x:c r="A71" t="str">
        <x:v>OBS-071</x:v>
      </x:c>
      <x:c r="B71" s="70" t="n">
        <x:v>46034</x:v>
      </x:c>
      <x:c r="C71" t="str">
        <x:v>Grocery</x:v>
      </x:c>
      <x:c r="D71" t="str">
        <x:v>Green Tea 100 bags</x:v>
      </x:c>
      <x:c r="E71" t="str">
        <x:v>Marketplace</x:v>
      </x:c>
      <x:c r="F71" s="72" t="n">
        <x:v>311</x:v>
      </x:c>
      <x:c r="G71" s="72" t="n">
        <x:v>295</x:v>
      </x:c>
      <x:c r="H71" s="72" t="n">
        <x:v>304</x:v>
      </x:c>
      <x:c r="I71" s="72" t="n">
        <x:v>284</x:v>
      </x:c>
      <x:c r="J71" s="72" t="n">
        <x:f>AVERAGE(G71:I71)</x:f>
        <x:v>294.3333333333333</x:v>
      </x:c>
      <x:c r="K71" s="72" t="n">
        <x:f>F71-J71</x:f>
        <x:v>16.666666666666686</x:v>
      </x:c>
      <x:c r="L71" s="53" t="n">
        <x:f>IFERROR(K71/J71*100,0)</x:f>
        <x:v>5.662514156285398</x:v>
      </x:c>
      <x:c r="M71" t="str">
        <x:f>IF(L71&gt;0,"Overpriced",IF(L71&lt;0,"Underpriced","At benchmark"))</x:f>
        <x:v>Overpriced</x:v>
      </x:c>
      <x:c r="N71" t="n">
        <x:v>2</x:v>
      </x:c>
      <x:c r="O71" t="n">
        <x:v>289.5</x:v>
      </x:c>
      <x:c r="P71" s="53" t="n">
        <x:f>IFERROR((F71-O71)/O71*100,"")</x:f>
        <x:v>7.4265975820379975</x:v>
      </x:c>
      <x:c r="Q71" t="str">
        <x:v>Out of stock</x:v>
      </x:c>
      <x:c r="R71" t="n">
        <x:v>282</x:v>
      </x:c>
      <x:c r="S71" t="str">
        <x:v>283, 284, 285</x:v>
      </x:c>
      <x:c r="T71" t="str">
        <x:v>Marketplace</x:v>
      </x:c>
      <x:c r="U71" t="str">
        <x:v>Own website</x:v>
      </x:c>
      <x:c r="V71" t="str">
        <x:v>Marketplace</x:v>
      </x:c>
    </x:row>
    <x:row r="72" ht="15" hidden="0" customHeight="1">
      <x:c r="A72" t="str">
        <x:v>OBS-023</x:v>
      </x:c>
      <x:c r="B72" s="70" t="n">
        <x:v>46041</x:v>
      </x:c>
      <x:c r="C72" t="str">
        <x:v>Beauty</x:v>
      </x:c>
      <x:c r="D72" t="str">
        <x:v>Beard Trimmer</x:v>
      </x:c>
      <x:c r="E72" t="str">
        <x:v>Marketplace</x:v>
      </x:c>
      <x:c r="F72" s="72" t="n">
        <x:v>2649</x:v>
      </x:c>
      <x:c r="G72" s="72" t="n">
        <x:v>2280</x:v>
      </x:c>
      <x:c r="H72" s="72" t="n">
        <x:v>2537</x:v>
      </x:c>
      <x:c r="I72" s="72" t="n">
        <x:v>2271</x:v>
      </x:c>
      <x:c r="J72" s="72" t="n">
        <x:f>AVERAGE(G72:I72)</x:f>
        <x:v>2362.6666666666665</x:v>
      </x:c>
      <x:c r="K72" s="72" t="n">
        <x:f>F72-J72</x:f>
        <x:v>286.3333333333335</x:v>
      </x:c>
      <x:c r="L72" s="53" t="n">
        <x:f>IFERROR(K72/J72*100,0)</x:f>
        <x:v>12.11907449209933</x:v>
      </x:c>
      <x:c r="M72" t="str">
        <x:f>IF(L72&gt;0,"Overpriced",IF(L72&lt;0,"Underpriced","At benchmark"))</x:f>
        <x:v>Overpriced</x:v>
      </x:c>
      <x:c r="N72" t="n">
        <x:v>0</x:v>
      </x:c>
      <x:c r="O72"/>
      <x:c r="P72" s="53" t="str">
        <x:f>IFERROR((F72-O72)/O72*100,"")</x:f>
      </x:c>
      <x:c r="Q72" t="str">
        <x:v>In stock</x:v>
      </x:c>
      <x:c r="R72" t="n">
        <x:v>90</x:v>
      </x:c>
      <x:c r="S72" t="str">
        <x:v>91, 92, 93</x:v>
      </x:c>
      <x:c r="T72" t="str">
        <x:v>Quick-commerce app</x:v>
      </x:c>
      <x:c r="U72" t="str">
        <x:v>Quick-commerce app</x:v>
      </x:c>
      <x:c r="V72" t="str">
        <x:v>Own website</x:v>
      </x:c>
    </x:row>
    <x:row r="73" ht="15" hidden="0" customHeight="1">
      <x:c r="A73" t="str">
        <x:v>OBS-052</x:v>
      </x:c>
      <x:c r="B73" s="70" t="n">
        <x:v>46041</x:v>
      </x:c>
      <x:c r="C73" t="str">
        <x:v>Beauty</x:v>
      </x:c>
      <x:c r="D73" t="str">
        <x:v>Beard Trimmer</x:v>
      </x:c>
      <x:c r="E73" t="str">
        <x:v>Own website</x:v>
      </x:c>
      <x:c r="F73" s="72" t="n">
        <x:v>2053</x:v>
      </x:c>
      <x:c r="G73" s="72" t="n">
        <x:v>1800</x:v>
      </x:c>
      <x:c r="H73" s="72" t="n">
        <x:v>1979</x:v>
      </x:c>
      <x:c r="I73" s="72" t="n">
        <x:v>2047</x:v>
      </x:c>
      <x:c r="J73" s="72" t="n">
        <x:f>AVERAGE(G73:I73)</x:f>
        <x:v>1942</x:v>
      </x:c>
      <x:c r="K73" s="72" t="n">
        <x:f>F73-J73</x:f>
        <x:v>111</x:v>
      </x:c>
      <x:c r="L73" s="53" t="n">
        <x:f>IFERROR(K73/J73*100,0)</x:f>
        <x:v>5.715756951596292</x:v>
      </x:c>
      <x:c r="M73" t="str">
        <x:f>IF(L73&gt;0,"Overpriced",IF(L73&lt;0,"Underpriced","At benchmark"))</x:f>
        <x:v>Overpriced</x:v>
      </x:c>
      <x:c r="N73" t="n">
        <x:v>1</x:v>
      </x:c>
      <x:c r="O73" t="n">
        <x:v>1979</x:v>
      </x:c>
      <x:c r="P73" s="53" t="n">
        <x:f>IFERROR((F73-O73)/O73*100,"")</x:f>
        <x:v>3.739262253663466</x:v>
      </x:c>
      <x:c r="Q73" t="str">
        <x:v>In stock</x:v>
      </x:c>
      <x:c r="R73" t="n">
        <x:v>206</x:v>
      </x:c>
      <x:c r="S73" t="str">
        <x:v>207, 208, 209</x:v>
      </x:c>
      <x:c r="T73" t="str">
        <x:v>Marketplace</x:v>
      </x:c>
      <x:c r="U73" t="str">
        <x:v>Own website</x:v>
      </x:c>
      <x:c r="V73" t="str">
        <x:v>Quick-commerce app</x:v>
      </x:c>
    </x:row>
    <x:row r="74" ht="15" hidden="0" customHeight="1">
      <x:c r="A74" t="str">
        <x:v>OBS-100</x:v>
      </x:c>
      <x:c r="B74" s="70" t="n">
        <x:v>46041</x:v>
      </x:c>
      <x:c r="C74" t="str">
        <x:v>Electronics</x:v>
      </x:c>
      <x:c r="D74" t="str">
        <x:v>Wireless Earbuds</x:v>
      </x:c>
      <x:c r="E74" t="str">
        <x:v>Quick-commerce app</x:v>
      </x:c>
      <x:c r="F74" s="72" t="n">
        <x:v>3768</x:v>
      </x:c>
      <x:c r="G74" s="72" t="n">
        <x:v>3491</x:v>
      </x:c>
      <x:c r="H74" s="72" t="n">
        <x:v>3599</x:v>
      </x:c>
      <x:c r="I74" s="72" t="n">
        <x:v>3994</x:v>
      </x:c>
      <x:c r="J74" s="72" t="n">
        <x:f>AVERAGE(G74:I74)</x:f>
        <x:v>3694.6666666666665</x:v>
      </x:c>
      <x:c r="K74" s="72" t="n">
        <x:f>F74-J74</x:f>
        <x:v>73.33333333333348</x:v>
      </x:c>
      <x:c r="L74" s="53" t="n">
        <x:f>IFERROR(K74/J74*100,0)</x:f>
        <x:v>1.98484301696139</x:v>
      </x:c>
      <x:c r="M74" t="str">
        <x:f>IF(L74&gt;0,"Overpriced",IF(L74&lt;0,"Underpriced","At benchmark"))</x:f>
        <x:v>Overpriced</x:v>
      </x:c>
      <x:c r="N74" t="n">
        <x:v>2</x:v>
      </x:c>
      <x:c r="O74" t="n">
        <x:v>3796.5</x:v>
      </x:c>
      <x:c r="P74" s="53" t="n">
        <x:f>IFERROR((F74-O74)/O74*100,"")</x:f>
        <x:v>-0.75069142631371</x:v>
      </x:c>
      <x:c r="Q74" t="str">
        <x:v>Low stock</x:v>
      </x:c>
      <x:c r="R74" t="n">
        <x:v>398</x:v>
      </x:c>
      <x:c r="S74" t="str">
        <x:v>399, 400, 401</x:v>
      </x:c>
      <x:c r="T74" t="str">
        <x:v>Own website</x:v>
      </x:c>
      <x:c r="U74" t="str">
        <x:v>Quick-commerce app</x:v>
      </x:c>
      <x:c r="V74" t="str">
        <x:v>Quick-commerce app</x:v>
      </x:c>
    </x:row>
    <x:row r="75" ht="15" hidden="0" customHeight="1">
      <x:c r="A75" t="str">
        <x:v>OBS-085</x:v>
      </x:c>
      <x:c r="B75" s="70" t="n">
        <x:v>46041</x:v>
      </x:c>
      <x:c r="C75" t="str">
        <x:v>Grocery</x:v>
      </x:c>
      <x:c r="D75" t="str">
        <x:v>Organic Jaggery 1kg</x:v>
      </x:c>
      <x:c r="E75" t="str">
        <x:v>Own website</x:v>
      </x:c>
      <x:c r="F75" s="72" t="n">
        <x:v>167</x:v>
      </x:c>
      <x:c r="G75" s="72" t="n">
        <x:v>199</x:v>
      </x:c>
      <x:c r="H75" s="72" t="n">
        <x:v>171</x:v>
      </x:c>
      <x:c r="I75" s="72" t="n">
        <x:v>203</x:v>
      </x:c>
      <x:c r="J75" s="72" t="n">
        <x:f>AVERAGE(G75:I75)</x:f>
        <x:v>191</x:v>
      </x:c>
      <x:c r="K75" s="72" t="n">
        <x:f>F75-J75</x:f>
        <x:v>-24</x:v>
      </x:c>
      <x:c r="L75" s="53" t="n">
        <x:f>IFERROR(K75/J75*100,0)</x:f>
        <x:v>-12.56544502617801</x:v>
      </x:c>
      <x:c r="M75" t="str">
        <x:f>IF(L75&gt;0,"Overpriced",IF(L75&lt;0,"Underpriced","At benchmark"))</x:f>
        <x:v>Underpriced</x:v>
      </x:c>
      <x:c r="N75" t="n">
        <x:v>2</x:v>
      </x:c>
      <x:c r="O75" t="n">
        <x:v>187</x:v>
      </x:c>
      <x:c r="P75" s="53" t="n">
        <x:f>IFERROR((F75-O75)/O75*100,"")</x:f>
        <x:v>-10.695187165775401</x:v>
      </x:c>
      <x:c r="Q75" t="str">
        <x:v>Out of stock</x:v>
      </x:c>
      <x:c r="R75" t="n">
        <x:v>338</x:v>
      </x:c>
      <x:c r="S75" t="str">
        <x:v>339, 340, 341</x:v>
      </x:c>
      <x:c r="T75" t="str">
        <x:v>Marketplace</x:v>
      </x:c>
      <x:c r="U75" t="str">
        <x:v>Own website</x:v>
      </x:c>
      <x:c r="V75" t="str">
        <x:v>Own website</x:v>
      </x:c>
    </x:row>
    <x:row r="76" ht="15" hidden="0" customHeight="1">
      <x:c r="A76" t="str">
        <x:v>OBS-098</x:v>
      </x:c>
      <x:c r="B76" s="70" t="n">
        <x:v>46041</x:v>
      </x:c>
      <x:c r="C76" t="str">
        <x:v>Home &amp; Kitchen</x:v>
      </x:c>
      <x:c r="D76" t="str">
        <x:v>Pressure Cooker 5L</x:v>
      </x:c>
      <x:c r="E76" t="str">
        <x:v>Quick-commerce app</x:v>
      </x:c>
      <x:c r="F76" s="72" t="n">
        <x:v>2745</x:v>
      </x:c>
      <x:c r="G76" s="72" t="n">
        <x:v>2749</x:v>
      </x:c>
      <x:c r="H76" s="72" t="n">
        <x:v>2410</x:v>
      </x:c>
      <x:c r="I76" s="72" t="n">
        <x:v>2744</x:v>
      </x:c>
      <x:c r="J76" s="72" t="n">
        <x:f>AVERAGE(G76:I76)</x:f>
        <x:v>2634.3333333333335</x:v>
      </x:c>
      <x:c r="K76" s="72" t="n">
        <x:f>F76-J76</x:f>
        <x:v>110.66666666666652</x:v>
      </x:c>
      <x:c r="L76" s="53" t="n">
        <x:f>IFERROR(K76/J76*100,0)</x:f>
        <x:v>4.2009363532835575</x:v>
      </x:c>
      <x:c r="M76" t="str">
        <x:f>IF(L76&gt;0,"Overpriced",IF(L76&lt;0,"Underpriced","At benchmark"))</x:f>
        <x:v>Overpriced</x:v>
      </x:c>
      <x:c r="N76" t="n">
        <x:v>0</x:v>
      </x:c>
      <x:c r="O76"/>
      <x:c r="P76" s="53" t="str">
        <x:f>IFERROR((F76-O76)/O76*100,"")</x:f>
      </x:c>
      <x:c r="Q76" t="str">
        <x:v>Low stock</x:v>
      </x:c>
      <x:c r="R76" t="n">
        <x:v>390</x:v>
      </x:c>
      <x:c r="S76" t="str">
        <x:v>391, 392, 393</x:v>
      </x:c>
      <x:c r="T76" t="str">
        <x:v>Own website</x:v>
      </x:c>
      <x:c r="U76" t="str">
        <x:v>Own website</x:v>
      </x:c>
      <x:c r="V76" t="str">
        <x:v>Marketplace</x:v>
      </x:c>
    </x:row>
    <x:row r="77" ht="15" hidden="0" customHeight="1">
      <x:c r="A77" t="str">
        <x:v>OBS-042</x:v>
      </x:c>
      <x:c r="B77" s="70" t="n">
        <x:v>46041</x:v>
      </x:c>
      <x:c r="C77" t="str">
        <x:v>Home &amp; Kitchen</x:v>
      </x:c>
      <x:c r="D77" t="str">
        <x:v>Steel Water Bottle</x:v>
      </x:c>
      <x:c r="E77" t="str">
        <x:v>Quick-commerce app</x:v>
      </x:c>
      <x:c r="F77" s="72" t="n">
        <x:v>691</x:v>
      </x:c>
      <x:c r="G77" s="72" t="n">
        <x:v>713</x:v>
      </x:c>
      <x:c r="H77" s="72" t="n">
        <x:v>891</x:v>
      </x:c>
      <x:c r="I77" s="72" t="n">
        <x:v>734</x:v>
      </x:c>
      <x:c r="J77" s="72" t="n">
        <x:f>AVERAGE(G77:I77)</x:f>
        <x:v>779.3333333333334</x:v>
      </x:c>
      <x:c r="K77" s="72" t="n">
        <x:f>F77-J77</x:f>
        <x:v>-88.33333333333337</x:v>
      </x:c>
      <x:c r="L77" s="53" t="n">
        <x:f>IFERROR(K77/J77*100,0)</x:f>
        <x:v>-11.334473909324213</x:v>
      </x:c>
      <x:c r="M77" t="str">
        <x:f>IF(L77&gt;0,"Overpriced",IF(L77&lt;0,"Underpriced","At benchmark"))</x:f>
        <x:v>Underpriced</x:v>
      </x:c>
      <x:c r="N77" t="n">
        <x:v>0</x:v>
      </x:c>
      <x:c r="O77"/>
      <x:c r="P77" s="53" t="str">
        <x:f>IFERROR((F77-O77)/O77*100,"")</x:f>
      </x:c>
      <x:c r="Q77" t="str">
        <x:v>Low stock</x:v>
      </x:c>
      <x:c r="R77" t="n">
        <x:v>166</x:v>
      </x:c>
      <x:c r="S77" t="str">
        <x:v>167, 168, 169</x:v>
      </x:c>
      <x:c r="T77" t="str">
        <x:v>Marketplace</x:v>
      </x:c>
      <x:c r="U77" t="str">
        <x:v>Own website</x:v>
      </x:c>
      <x:c r="V77" t="str">
        <x:v>Marketplace</x:v>
      </x:c>
    </x:row>
    <x:row r="78" ht="15" hidden="0" customHeight="1">
      <x:c r="A78" t="str">
        <x:v>OBS-094</x:v>
      </x:c>
      <x:c r="B78" s="70" t="n">
        <x:v>46048</x:v>
      </x:c>
      <x:c r="C78" t="str">
        <x:v>Electronics</x:v>
      </x:c>
      <x:c r="D78" t="str">
        <x:v>Bluetooth Speaker</x:v>
      </x:c>
      <x:c r="E78" t="str">
        <x:v>Quick-commerce app</x:v>
      </x:c>
      <x:c r="F78" s="72" t="n">
        <x:v>3588</x:v>
      </x:c>
      <x:c r="G78" s="72" t="n">
        <x:v>3354</x:v>
      </x:c>
      <x:c r="H78" s="72" t="n">
        <x:v>3439</x:v>
      </x:c>
      <x:c r="I78" s="72" t="n">
        <x:v>4289</x:v>
      </x:c>
      <x:c r="J78" s="72" t="n">
        <x:f>AVERAGE(G78:I78)</x:f>
        <x:v>3694</x:v>
      </x:c>
      <x:c r="K78" s="72" t="n">
        <x:f>F78-J78</x:f>
        <x:v>-106</x:v>
      </x:c>
      <x:c r="L78" s="53" t="n">
        <x:f>IFERROR(K78/J78*100,0)</x:f>
        <x:v>-2.8695181375203034</x:v>
      </x:c>
      <x:c r="M78" t="str">
        <x:f>IF(L78&gt;0,"Overpriced",IF(L78&lt;0,"Underpriced","At benchmark"))</x:f>
        <x:v>Underpriced</x:v>
      </x:c>
      <x:c r="N78" t="n">
        <x:v>0</x:v>
      </x:c>
      <x:c r="O78"/>
      <x:c r="P78" s="53" t="str">
        <x:f>IFERROR((F78-O78)/O78*100,"")</x:f>
      </x:c>
      <x:c r="Q78" t="str">
        <x:v>In stock</x:v>
      </x:c>
      <x:c r="R78" t="n">
        <x:v>374</x:v>
      </x:c>
      <x:c r="S78" t="str">
        <x:v>375, 376, 377</x:v>
      </x:c>
      <x:c r="T78" t="str">
        <x:v>Own website</x:v>
      </x:c>
      <x:c r="U78" t="str">
        <x:v>Own website</x:v>
      </x:c>
      <x:c r="V78" t="str">
        <x:v>Marketplace</x:v>
      </x:c>
    </x:row>
    <x:row r="79" ht="15" hidden="0" customHeight="1">
      <x:c r="A79" t="str">
        <x:v>OBS-050</x:v>
      </x:c>
      <x:c r="B79" s="70" t="n">
        <x:v>46048</x:v>
      </x:c>
      <x:c r="C79" t="str">
        <x:v>Electronics</x:v>
      </x:c>
      <x:c r="D79" t="str">
        <x:v>Smartwatch</x:v>
      </x:c>
      <x:c r="E79" t="str">
        <x:v>Own website</x:v>
      </x:c>
      <x:c r="F79" s="72" t="n">
        <x:v>4566</x:v>
      </x:c>
      <x:c r="G79" s="72" t="n">
        <x:v>4627</x:v>
      </x:c>
      <x:c r="H79" s="72" t="n">
        <x:v>4451</x:v>
      </x:c>
      <x:c r="I79" s="72" t="n">
        <x:v>5016</x:v>
      </x:c>
      <x:c r="J79" s="72" t="n">
        <x:f>AVERAGE(G79:I79)</x:f>
        <x:v>4698</x:v>
      </x:c>
      <x:c r="K79" s="72" t="n">
        <x:f>F79-J79</x:f>
        <x:v>-132</x:v>
      </x:c>
      <x:c r="L79" s="53" t="n">
        <x:f>IFERROR(K79/J79*100,0)</x:f>
        <x:v>-2.80970625798212</x:v>
      </x:c>
      <x:c r="M79" t="str">
        <x:f>IF(L79&gt;0,"Overpriced",IF(L79&lt;0,"Underpriced","At benchmark"))</x:f>
        <x:v>Underpriced</x:v>
      </x:c>
      <x:c r="N79" t="n">
        <x:v>0</x:v>
      </x:c>
      <x:c r="O79"/>
      <x:c r="P79" s="53" t="str">
        <x:f>IFERROR((F79-O79)/O79*100,"")</x:f>
      </x:c>
      <x:c r="Q79" t="str">
        <x:v>In stock</x:v>
      </x:c>
      <x:c r="R79" t="n">
        <x:v>198</x:v>
      </x:c>
      <x:c r="S79" t="str">
        <x:v>199, 200, 201</x:v>
      </x:c>
      <x:c r="T79" t="str">
        <x:v>Marketplace</x:v>
      </x:c>
      <x:c r="U79" t="str">
        <x:v>Marketplace</x:v>
      </x:c>
      <x:c r="V79" t="str">
        <x:v>Marketplace</x:v>
      </x:c>
    </x:row>
    <x:row r="80" ht="15" hidden="0" customHeight="1">
      <x:c r="A80" t="str">
        <x:v>OBS-047</x:v>
      </x:c>
      <x:c r="B80" s="70" t="n">
        <x:v>46048</x:v>
      </x:c>
      <x:c r="C80" t="str">
        <x:v>Electronics</x:v>
      </x:c>
      <x:c r="D80" t="str">
        <x:v>Wireless Earbuds</x:v>
      </x:c>
      <x:c r="E80" t="str">
        <x:v>Marketplace</x:v>
      </x:c>
      <x:c r="F80" s="72" t="n">
        <x:v>3433</x:v>
      </x:c>
      <x:c r="G80" s="72" t="n">
        <x:v>3648</x:v>
      </x:c>
      <x:c r="H80" s="72" t="n">
        <x:v>4050</x:v>
      </x:c>
      <x:c r="I80" s="72" t="n">
        <x:v>3669</x:v>
      </x:c>
      <x:c r="J80" s="72" t="n">
        <x:f>AVERAGE(G80:I80)</x:f>
        <x:v>3789</x:v>
      </x:c>
      <x:c r="K80" s="72" t="n">
        <x:f>F80-J80</x:f>
        <x:v>-356</x:v>
      </x:c>
      <x:c r="L80" s="53" t="n">
        <x:f>IFERROR(K80/J80*100,0)</x:f>
        <x:v>-9.395618896806546</x:v>
      </x:c>
      <x:c r="M80" t="str">
        <x:f>IF(L80&gt;0,"Overpriced",IF(L80&lt;0,"Underpriced","At benchmark"))</x:f>
        <x:v>Underpriced</x:v>
      </x:c>
      <x:c r="N80" t="n">
        <x:v>0</x:v>
      </x:c>
      <x:c r="O80"/>
      <x:c r="P80" s="53" t="str">
        <x:f>IFERROR((F80-O80)/O80*100,"")</x:f>
      </x:c>
      <x:c r="Q80" t="str">
        <x:v>In stock</x:v>
      </x:c>
      <x:c r="R80" t="n">
        <x:v>186</x:v>
      </x:c>
      <x:c r="S80" t="str">
        <x:v>187, 188, 189</x:v>
      </x:c>
      <x:c r="T80" t="str">
        <x:v>Own website</x:v>
      </x:c>
      <x:c r="U80" t="str">
        <x:v>Own website</x:v>
      </x:c>
      <x:c r="V80" t="str">
        <x:v>Quick-commerce app</x:v>
      </x:c>
    </x:row>
    <x:row r="81" ht="15" hidden="0" customHeight="1">
      <x:c r="A81" t="str">
        <x:v>OBS-075</x:v>
      </x:c>
      <x:c r="B81" s="70" t="n">
        <x:v>46055</x:v>
      </x:c>
      <x:c r="C81" t="str">
        <x:v>Beauty</x:v>
      </x:c>
      <x:c r="D81" t="str">
        <x:v>Beard Trimmer</x:v>
      </x:c>
      <x:c r="E81" t="str">
        <x:v>Marketplace</x:v>
      </x:c>
      <x:c r="F81" s="72" t="n">
        <x:v>1765</x:v>
      </x:c>
      <x:c r="G81" s="72" t="n">
        <x:v>1463</x:v>
      </x:c>
      <x:c r="H81" s="72" t="n">
        <x:v>1491</x:v>
      </x:c>
      <x:c r="I81" s="72" t="n">
        <x:v>1632</x:v>
      </x:c>
      <x:c r="J81" s="72" t="n">
        <x:f>AVERAGE(G81:I81)</x:f>
        <x:v>1528.6666666666667</x:v>
      </x:c>
      <x:c r="K81" s="72" t="n">
        <x:f>F81-J81</x:f>
        <x:v>236.33333333333326</x:v>
      </x:c>
      <x:c r="L81" s="53" t="n">
        <x:f>IFERROR(K81/J81*100,0)</x:f>
        <x:v>15.460095944177926</x:v>
      </x:c>
      <x:c r="M81" t="str">
        <x:f>IF(L81&gt;0,"Overpriced",IF(L81&lt;0,"Underpriced","At benchmark"))</x:f>
        <x:v>Overpriced</x:v>
      </x:c>
      <x:c r="N81" t="n">
        <x:v>1</x:v>
      </x:c>
      <x:c r="O81" t="n">
        <x:v>1491</x:v>
      </x:c>
      <x:c r="P81" s="53" t="n">
        <x:f>IFERROR((F81-O81)/O81*100,"")</x:f>
        <x:v>18.376928236083163</x:v>
      </x:c>
      <x:c r="Q81" t="str">
        <x:v>In stock</x:v>
      </x:c>
      <x:c r="R81" t="n">
        <x:v>298</x:v>
      </x:c>
      <x:c r="S81" t="str">
        <x:v>299, 300, 301</x:v>
      </x:c>
      <x:c r="T81" t="str">
        <x:v>Own website</x:v>
      </x:c>
      <x:c r="U81" t="str">
        <x:v>Marketplace</x:v>
      </x:c>
      <x:c r="V81" t="str">
        <x:v>Own website</x:v>
      </x:c>
    </x:row>
    <x:row r="82" ht="15" hidden="0" customHeight="1">
      <x:c r="A82" t="str">
        <x:v>OBS-032</x:v>
      </x:c>
      <x:c r="B82" s="70" t="n">
        <x:v>46055</x:v>
      </x:c>
      <x:c r="C82" t="str">
        <x:v>Electronics</x:v>
      </x:c>
      <x:c r="D82" t="str">
        <x:v>Smartwatch</x:v>
      </x:c>
      <x:c r="E82" t="str">
        <x:v>Own website</x:v>
      </x:c>
      <x:c r="F82" s="72" t="n">
        <x:v>10206</x:v>
      </x:c>
      <x:c r="G82" s="72" t="n">
        <x:v>10549</x:v>
      </x:c>
      <x:c r="H82" s="72" t="n">
        <x:v>8219</x:v>
      </x:c>
      <x:c r="I82" s="72" t="n">
        <x:v>9120</x:v>
      </x:c>
      <x:c r="J82" s="72" t="n">
        <x:f>AVERAGE(G82:I82)</x:f>
        <x:v>9296</x:v>
      </x:c>
      <x:c r="K82" s="72" t="n">
        <x:f>F82-J82</x:f>
        <x:v>910</x:v>
      </x:c>
      <x:c r="L82" s="53" t="n">
        <x:f>IFERROR(K82/J82*100,0)</x:f>
        <x:v>9.789156626506024</x:v>
      </x:c>
      <x:c r="M82" t="str">
        <x:f>IF(L82&gt;0,"Overpriced",IF(L82&lt;0,"Underpriced","At benchmark"))</x:f>
        <x:v>Overpriced</x:v>
      </x:c>
      <x:c r="N82" t="n">
        <x:v>1</x:v>
      </x:c>
      <x:c r="O82" t="n">
        <x:v>8219</x:v>
      </x:c>
      <x:c r="P82" s="53" t="n">
        <x:f>IFERROR((F82-O82)/O82*100,"")</x:f>
        <x:v>24.17569047329359</x:v>
      </x:c>
      <x:c r="Q82" t="str">
        <x:v>Low stock</x:v>
      </x:c>
      <x:c r="R82" t="n">
        <x:v>126</x:v>
      </x:c>
      <x:c r="S82" t="str">
        <x:v>127, 128, 129</x:v>
      </x:c>
      <x:c r="T82" t="str">
        <x:v>Quick-commerce app</x:v>
      </x:c>
      <x:c r="U82" t="str">
        <x:v>Own website</x:v>
      </x:c>
      <x:c r="V82" t="str">
        <x:v>Quick-commerce app</x:v>
      </x:c>
    </x:row>
    <x:row r="83" ht="15" hidden="0" customHeight="1">
      <x:c r="A83" t="str">
        <x:v>OBS-013</x:v>
      </x:c>
      <x:c r="B83" s="70" t="n">
        <x:v>46055</x:v>
      </x:c>
      <x:c r="C83" t="str">
        <x:v>Fashion</x:v>
      </x:c>
      <x:c r="D83" t="str">
        <x:v>Cotton Kurta</x:v>
      </x:c>
      <x:c r="E83" t="str">
        <x:v>Marketplace</x:v>
      </x:c>
      <x:c r="F83" s="72" t="n">
        <x:v>1047</x:v>
      </x:c>
      <x:c r="G83" s="72" t="n">
        <x:v>946</x:v>
      </x:c>
      <x:c r="H83" s="72" t="n">
        <x:v>1000</x:v>
      </x:c>
      <x:c r="I83" s="72" t="n">
        <x:v>943</x:v>
      </x:c>
      <x:c r="J83" s="72" t="n">
        <x:f>AVERAGE(G83:I83)</x:f>
        <x:v>963</x:v>
      </x:c>
      <x:c r="K83" s="72" t="n">
        <x:f>F83-J83</x:f>
        <x:v>84</x:v>
      </x:c>
      <x:c r="L83" s="53" t="n">
        <x:f>IFERROR(K83/J83*100,0)</x:f>
        <x:v>8.722741433021806</x:v>
      </x:c>
      <x:c r="M83" t="str">
        <x:f>IF(L83&gt;0,"Overpriced",IF(L83&lt;0,"Underpriced","At benchmark"))</x:f>
        <x:v>Overpriced</x:v>
      </x:c>
      <x:c r="N83" t="n">
        <x:v>3</x:v>
      </x:c>
      <x:c r="O83" t="n">
        <x:v>963</x:v>
      </x:c>
      <x:c r="P83" s="53" t="n">
        <x:f>IFERROR((F83-O83)/O83*100,"")</x:f>
        <x:v>8.722741433021806</x:v>
      </x:c>
      <x:c r="Q83" t="str">
        <x:v>Out of stock</x:v>
      </x:c>
      <x:c r="R83" t="n">
        <x:v>50</x:v>
      </x:c>
      <x:c r="S83" t="str">
        <x:v>51, 52, 53</x:v>
      </x:c>
      <x:c r="T83" t="str">
        <x:v>Marketplace</x:v>
      </x:c>
      <x:c r="U83" t="str">
        <x:v>Marketplace</x:v>
      </x:c>
      <x:c r="V83" t="str">
        <x:v>Marketplace</x:v>
      </x:c>
    </x:row>
    <x:row r="84" ht="15" hidden="0" customHeight="1">
      <x:c r="A84" t="str">
        <x:v>OBS-001</x:v>
      </x:c>
      <x:c r="B84" s="70" t="n">
        <x:v>46055</x:v>
      </x:c>
      <x:c r="C84" t="str">
        <x:v>Home &amp; Kitchen</x:v>
      </x:c>
      <x:c r="D84" t="str">
        <x:v>Mixer Grinder</x:v>
      </x:c>
      <x:c r="E84" t="str">
        <x:v>Marketplace</x:v>
      </x:c>
      <x:c r="F84" s="72" t="n">
        <x:v>4550</x:v>
      </x:c>
      <x:c r="G84" s="72" t="n">
        <x:v>5532</x:v>
      </x:c>
      <x:c r="H84" s="72" t="n">
        <x:v>5255</x:v>
      </x:c>
      <x:c r="I84" s="72" t="n">
        <x:v>4507</x:v>
      </x:c>
      <x:c r="J84" s="72" t="n">
        <x:f>AVERAGE(G84:I84)</x:f>
        <x:v>5098</x:v>
      </x:c>
      <x:c r="K84" s="72" t="n">
        <x:f>F84-J84</x:f>
        <x:v>-548</x:v>
      </x:c>
      <x:c r="L84" s="53" t="n">
        <x:f>IFERROR(K84/J84*100,0)</x:f>
        <x:v>-10.749313456257356</x:v>
      </x:c>
      <x:c r="M84" t="str">
        <x:f>IF(L84&gt;0,"Overpriced",IF(L84&lt;0,"Underpriced","At benchmark"))</x:f>
        <x:v>Underpriced</x:v>
      </x:c>
      <x:c r="N84" t="n">
        <x:v>1</x:v>
      </x:c>
      <x:c r="O84" t="n">
        <x:v>5255</x:v>
      </x:c>
      <x:c r="P84" s="53" t="n">
        <x:f>IFERROR((F84-O84)/O84*100,"")</x:f>
        <x:v>-13.415794481446241</x:v>
      </x:c>
      <x:c r="Q84" t="str">
        <x:v>Out of stock</x:v>
      </x:c>
      <x:c r="R84" t="n">
        <x:v>2</x:v>
      </x:c>
      <x:c r="S84" t="str">
        <x:v>3, 4, 5</x:v>
      </x:c>
      <x:c r="T84" t="str">
        <x:v>Own website</x:v>
      </x:c>
      <x:c r="U84" t="str">
        <x:v>Marketplace</x:v>
      </x:c>
      <x:c r="V84" t="str">
        <x:v>Quick-commerce app</x:v>
      </x:c>
    </x:row>
    <x:row r="85" ht="15" hidden="0" customHeight="1">
      <x:c r="A85" t="str">
        <x:v>OBS-069</x:v>
      </x:c>
      <x:c r="B85" s="70" t="n">
        <x:v>46055</x:v>
      </x:c>
      <x:c r="C85" t="str">
        <x:v>Home &amp; Kitchen</x:v>
      </x:c>
      <x:c r="D85" t="str">
        <x:v>Steel Water Bottle</x:v>
      </x:c>
      <x:c r="E85" t="str">
        <x:v>Own website</x:v>
      </x:c>
      <x:c r="F85" s="72" t="n">
        <x:v>819</x:v>
      </x:c>
      <x:c r="G85" s="72" t="n">
        <x:v>757</x:v>
      </x:c>
      <x:c r="H85" s="72" t="n">
        <x:v>770</x:v>
      </x:c>
      <x:c r="I85" s="72" t="n">
        <x:v>721</x:v>
      </x:c>
      <x:c r="J85" s="72" t="n">
        <x:f>AVERAGE(G85:I85)</x:f>
        <x:v>749.3333333333334</x:v>
      </x:c>
      <x:c r="K85" s="72" t="n">
        <x:f>F85-J85</x:f>
        <x:v>69.66666666666663</x:v>
      </x:c>
      <x:c r="L85" s="53" t="n">
        <x:f>IFERROR(K85/J85*100,0)</x:f>
        <x:v>9.297153024911028</x:v>
      </x:c>
      <x:c r="M85" t="str">
        <x:f>IF(L85&gt;0,"Overpriced",IF(L85&lt;0,"Underpriced","At benchmark"))</x:f>
        <x:v>Overpriced</x:v>
      </x:c>
      <x:c r="N85" t="n">
        <x:v>1</x:v>
      </x:c>
      <x:c r="O85" t="n">
        <x:v>770</x:v>
      </x:c>
      <x:c r="P85" s="53" t="n">
        <x:f>IFERROR((F85-O85)/O85*100,"")</x:f>
        <x:v>6.363636363636363</x:v>
      </x:c>
      <x:c r="Q85" t="str">
        <x:v>Low stock</x:v>
      </x:c>
      <x:c r="R85" t="n">
        <x:v>274</x:v>
      </x:c>
      <x:c r="S85" t="str">
        <x:v>275, 276, 277</x:v>
      </x:c>
      <x:c r="T85" t="str">
        <x:v>Quick-commerce app</x:v>
      </x:c>
      <x:c r="U85" t="str">
        <x:v>Own website</x:v>
      </x:c>
      <x:c r="V85" t="str">
        <x:v>Marketplace</x:v>
      </x:c>
    </x:row>
    <x:row r="86" ht="15" hidden="0" customHeight="1">
      <x:c r="A86" t="str">
        <x:v>OBS-048</x:v>
      </x:c>
      <x:c r="B86" s="70" t="n">
        <x:v>46062</x:v>
      </x:c>
      <x:c r="C86" t="str">
        <x:v>Beauty</x:v>
      </x:c>
      <x:c r="D86" t="str">
        <x:v>Beard Trimmer</x:v>
      </x:c>
      <x:c r="E86" t="str">
        <x:v>Quick-commerce app</x:v>
      </x:c>
      <x:c r="F86" s="72" t="n">
        <x:v>2084</x:v>
      </x:c>
      <x:c r="G86" s="72" t="n">
        <x:v>1992</x:v>
      </x:c>
      <x:c r="H86" s="72" t="n">
        <x:v>2128</x:v>
      </x:c>
      <x:c r="I86" s="72" t="n">
        <x:v>2384</x:v>
      </x:c>
      <x:c r="J86" s="72" t="n">
        <x:f>AVERAGE(G86:I86)</x:f>
        <x:v>2168</x:v>
      </x:c>
      <x:c r="K86" s="72" t="n">
        <x:f>F86-J86</x:f>
        <x:v>-84</x:v>
      </x:c>
      <x:c r="L86" s="53" t="n">
        <x:f>IFERROR(K86/J86*100,0)</x:f>
        <x:v>-3.8745387453874542</x:v>
      </x:c>
      <x:c r="M86" t="str">
        <x:f>IF(L86&gt;0,"Overpriced",IF(L86&lt;0,"Underpriced","At benchmark"))</x:f>
        <x:v>Underpriced</x:v>
      </x:c>
      <x:c r="N86" t="n">
        <x:v>0</x:v>
      </x:c>
      <x:c r="O86"/>
      <x:c r="P86" s="53" t="str">
        <x:f>IFERROR((F86-O86)/O86*100,"")</x:f>
      </x:c>
      <x:c r="Q86" t="str">
        <x:v>Out of stock</x:v>
      </x:c>
      <x:c r="R86" t="n">
        <x:v>190</x:v>
      </x:c>
      <x:c r="S86" t="str">
        <x:v>191, 192, 193</x:v>
      </x:c>
      <x:c r="T86" t="str">
        <x:v>Own website</x:v>
      </x:c>
      <x:c r="U86" t="str">
        <x:v>Own website</x:v>
      </x:c>
      <x:c r="V86" t="str">
        <x:v>Own website</x:v>
      </x:c>
    </x:row>
    <x:row r="87" ht="15" hidden="0" customHeight="1">
      <x:c r="A87" t="str">
        <x:v>OBS-021</x:v>
      </x:c>
      <x:c r="B87" s="70" t="n">
        <x:v>46062</x:v>
      </x:c>
      <x:c r="C87" t="str">
        <x:v>Beauty</x:v>
      </x:c>
      <x:c r="D87" t="str">
        <x:v>Face Serum</x:v>
      </x:c>
      <x:c r="E87" t="str">
        <x:v>Marketplace</x:v>
      </x:c>
      <x:c r="F87" s="72" t="n">
        <x:v>734</x:v>
      </x:c>
      <x:c r="G87" s="72" t="n">
        <x:v>891</x:v>
      </x:c>
      <x:c r="H87" s="72" t="n">
        <x:v>804</x:v>
      </x:c>
      <x:c r="I87" s="72" t="n">
        <x:v>877</x:v>
      </x:c>
      <x:c r="J87" s="72" t="n">
        <x:f>AVERAGE(G87:I87)</x:f>
        <x:v>857.3333333333334</x:v>
      </x:c>
      <x:c r="K87" s="72" t="n">
        <x:f>F87-J87</x:f>
        <x:v>-123.33333333333337</x:v>
      </x:c>
      <x:c r="L87" s="53" t="n">
        <x:f>IFERROR(K87/J87*100,0)</x:f>
        <x:v>-14.385692068429243</x:v>
      </x:c>
      <x:c r="M87" t="str">
        <x:f>IF(L87&gt;0,"Overpriced",IF(L87&lt;0,"Underpriced","At benchmark"))</x:f>
        <x:v>Underpriced</x:v>
      </x:c>
      <x:c r="N87" t="n">
        <x:v>0</x:v>
      </x:c>
      <x:c r="O87"/>
      <x:c r="P87" s="53" t="str">
        <x:f>IFERROR((F87-O87)/O87*100,"")</x:f>
      </x:c>
      <x:c r="Q87" t="str">
        <x:v>In stock</x:v>
      </x:c>
      <x:c r="R87" t="n">
        <x:v>82</x:v>
      </x:c>
      <x:c r="S87" t="str">
        <x:v>83, 84, 85</x:v>
      </x:c>
      <x:c r="T87" t="str">
        <x:v>Own website</x:v>
      </x:c>
      <x:c r="U87" t="str">
        <x:v>Quick-commerce app</x:v>
      </x:c>
      <x:c r="V87" t="str">
        <x:v>Own website</x:v>
      </x:c>
    </x:row>
    <x:row r="88" ht="15" hidden="0" customHeight="1">
      <x:c r="A88" t="str">
        <x:v>OBS-010</x:v>
      </x:c>
      <x:c r="B88" s="70" t="n">
        <x:v>46062</x:v>
      </x:c>
      <x:c r="C88" t="str">
        <x:v>Beauty</x:v>
      </x:c>
      <x:c r="D88" t="str">
        <x:v>Sunscreen SPF 50</x:v>
      </x:c>
      <x:c r="E88" t="str">
        <x:v>Marketplace</x:v>
      </x:c>
      <x:c r="F88" s="72" t="n">
        <x:v>490</x:v>
      </x:c>
      <x:c r="G88" s="72" t="n">
        <x:v>569</x:v>
      </x:c>
      <x:c r="H88" s="72" t="n">
        <x:v>435</x:v>
      </x:c>
      <x:c r="I88" s="72" t="n">
        <x:v>515</x:v>
      </x:c>
      <x:c r="J88" s="72" t="n">
        <x:f>AVERAGE(G88:I88)</x:f>
        <x:v>506.3333333333333</x:v>
      </x:c>
      <x:c r="K88" s="72" t="n">
        <x:f>F88-J88</x:f>
        <x:v>-16.333333333333314</x:v>
      </x:c>
      <x:c r="L88" s="53" t="n">
        <x:f>IFERROR(K88/J88*100,0)</x:f>
        <x:v>-3.2258064516128995</x:v>
      </x:c>
      <x:c r="M88" t="str">
        <x:f>IF(L88&gt;0,"Overpriced",IF(L88&lt;0,"Underpriced","At benchmark"))</x:f>
        <x:v>Underpriced</x:v>
      </x:c>
      <x:c r="N88" t="n">
        <x:v>2</x:v>
      </x:c>
      <x:c r="O88" t="n">
        <x:v>542</x:v>
      </x:c>
      <x:c r="P88" s="53" t="n">
        <x:f>IFERROR((F88-O88)/O88*100,"")</x:f>
        <x:v>-9.59409594095941</x:v>
      </x:c>
      <x:c r="Q88" t="str">
        <x:v>Low stock</x:v>
      </x:c>
      <x:c r="R88" t="n">
        <x:v>38</x:v>
      </x:c>
      <x:c r="S88" t="str">
        <x:v>39, 40, 41</x:v>
      </x:c>
      <x:c r="T88" t="str">
        <x:v>Marketplace</x:v>
      </x:c>
      <x:c r="U88" t="str">
        <x:v>Own website</x:v>
      </x:c>
      <x:c r="V88" t="str">
        <x:v>Marketplace</x:v>
      </x:c>
    </x:row>
    <x:row r="89" ht="15" hidden="0" customHeight="1">
      <x:c r="A89" t="str">
        <x:v>OBS-046</x:v>
      </x:c>
      <x:c r="B89" s="70" t="n">
        <x:v>46062</x:v>
      </x:c>
      <x:c r="C89" t="str">
        <x:v>Grocery</x:v>
      </x:c>
      <x:c r="D89" t="str">
        <x:v>Cold-pressed Oil 1L</x:v>
      </x:c>
      <x:c r="E89" t="str">
        <x:v>Own website</x:v>
      </x:c>
      <x:c r="F89" s="72" t="n">
        <x:v>473</x:v>
      </x:c>
      <x:c r="G89" s="72" t="n">
        <x:v>484</x:v>
      </x:c>
      <x:c r="H89" s="72" t="n">
        <x:v>471</x:v>
      </x:c>
      <x:c r="I89" s="72" t="n">
        <x:v>407</x:v>
      </x:c>
      <x:c r="J89" s="72" t="n">
        <x:f>AVERAGE(G89:I89)</x:f>
        <x:v>454</x:v>
      </x:c>
      <x:c r="K89" s="72" t="n">
        <x:f>F89-J89</x:f>
        <x:v>19</x:v>
      </x:c>
      <x:c r="L89" s="53" t="n">
        <x:f>IFERROR(K89/J89*100,0)</x:f>
        <x:v>4.185022026431718</x:v>
      </x:c>
      <x:c r="M89" t="str">
        <x:f>IF(L89&gt;0,"Overpriced",IF(L89&lt;0,"Underpriced","At benchmark"))</x:f>
        <x:v>Overpriced</x:v>
      </x:c>
      <x:c r="N89" t="n">
        <x:v>0</x:v>
      </x:c>
      <x:c r="O89"/>
      <x:c r="P89" s="53" t="str">
        <x:f>IFERROR((F89-O89)/O89*100,"")</x:f>
      </x:c>
      <x:c r="Q89" t="str">
        <x:v>In stock</x:v>
      </x:c>
      <x:c r="R89" t="n">
        <x:v>182</x:v>
      </x:c>
      <x:c r="S89" t="str">
        <x:v>183, 184, 185</x:v>
      </x:c>
      <x:c r="T89" t="str">
        <x:v>Quick-commerce app</x:v>
      </x:c>
      <x:c r="U89" t="str">
        <x:v>Quick-commerce app</x:v>
      </x:c>
      <x:c r="V89" t="str">
        <x:v>Marketplace</x:v>
      </x:c>
    </x:row>
    <x:row r="90" ht="15" hidden="0" customHeight="1">
      <x:c r="A90" t="str">
        <x:v>OBS-028</x:v>
      </x:c>
      <x:c r="B90" s="70" t="n">
        <x:v>46062</x:v>
      </x:c>
      <x:c r="C90" t="str">
        <x:v>Grocery</x:v>
      </x:c>
      <x:c r="D90" t="str">
        <x:v>Green Tea 100 bags</x:v>
      </x:c>
      <x:c r="E90" t="str">
        <x:v>Marketplace</x:v>
      </x:c>
      <x:c r="F90" s="72" t="n">
        <x:v>291</x:v>
      </x:c>
      <x:c r="G90" s="72" t="n">
        <x:v>287</x:v>
      </x:c>
      <x:c r="H90" s="72" t="n">
        <x:v>345</x:v>
      </x:c>
      <x:c r="I90" s="72" t="n">
        <x:v>374</x:v>
      </x:c>
      <x:c r="J90" s="72" t="n">
        <x:f>AVERAGE(G90:I90)</x:f>
        <x:v>335.3333333333333</x:v>
      </x:c>
      <x:c r="K90" s="72" t="n">
        <x:f>F90-J90</x:f>
        <x:v>-44.333333333333314</x:v>
      </x:c>
      <x:c r="L90" s="53" t="n">
        <x:f>IFERROR(K90/J90*100,0)</x:f>
        <x:v>-13.22067594433399</x:v>
      </x:c>
      <x:c r="M90" t="str">
        <x:f>IF(L90&gt;0,"Overpriced",IF(L90&lt;0,"Underpriced","At benchmark"))</x:f>
        <x:v>Underpriced</x:v>
      </x:c>
      <x:c r="N90" t="n">
        <x:v>1</x:v>
      </x:c>
      <x:c r="O90" t="n">
        <x:v>374</x:v>
      </x:c>
      <x:c r="P90" s="53" t="n">
        <x:f>IFERROR((F90-O90)/O90*100,"")</x:f>
        <x:v>-22.192513368983956</x:v>
      </x:c>
      <x:c r="Q90" t="str">
        <x:v>Low stock</x:v>
      </x:c>
      <x:c r="R90" t="n">
        <x:v>110</x:v>
      </x:c>
      <x:c r="S90" t="str">
        <x:v>111, 112, 113</x:v>
      </x:c>
      <x:c r="T90" t="str">
        <x:v>Own website</x:v>
      </x:c>
      <x:c r="U90" t="str">
        <x:v>Quick-commerce app</x:v>
      </x:c>
      <x:c r="V90" t="str">
        <x:v>Marketplace</x:v>
      </x:c>
    </x:row>
    <x:row r="91" ht="15" hidden="0" customHeight="1">
      <x:c r="A91" t="str">
        <x:v>OBS-055</x:v>
      </x:c>
      <x:c r="B91" s="70" t="n">
        <x:v>46062</x:v>
      </x:c>
      <x:c r="C91" t="str">
        <x:v>Grocery</x:v>
      </x:c>
      <x:c r="D91" t="str">
        <x:v>Organic Jaggery 1kg</x:v>
      </x:c>
      <x:c r="E91" t="str">
        <x:v>Quick-commerce app</x:v>
      </x:c>
      <x:c r="F91" s="72" t="n">
        <x:v>146</x:v>
      </x:c>
      <x:c r="G91" s="72" t="n">
        <x:v>136</x:v>
      </x:c>
      <x:c r="H91" s="72" t="n">
        <x:v>147</x:v>
      </x:c>
      <x:c r="I91" s="72" t="n">
        <x:v>138</x:v>
      </x:c>
      <x:c r="J91" s="72" t="n">
        <x:f>AVERAGE(G91:I91)</x:f>
        <x:v>140.33333333333334</x:v>
      </x:c>
      <x:c r="K91" s="72" t="n">
        <x:f>F91-J91</x:f>
        <x:v>5.666666666666657</x:v>
      </x:c>
      <x:c r="L91" s="53" t="n">
        <x:f>IFERROR(K91/J91*100,0)</x:f>
        <x:v>4.038004750593817</x:v>
      </x:c>
      <x:c r="M91" t="str">
        <x:f>IF(L91&gt;0,"Overpriced",IF(L91&lt;0,"Underpriced","At benchmark"))</x:f>
        <x:v>Overpriced</x:v>
      </x:c>
      <x:c r="N91" t="n">
        <x:v>0</x:v>
      </x:c>
      <x:c r="O91"/>
      <x:c r="P91" s="53" t="str">
        <x:f>IFERROR((F91-O91)/O91*100,"")</x:f>
      </x:c>
      <x:c r="Q91" t="str">
        <x:v>In stock</x:v>
      </x:c>
      <x:c r="R91" t="n">
        <x:v>218</x:v>
      </x:c>
      <x:c r="S91" t="str">
        <x:v>219, 220, 221</x:v>
      </x:c>
      <x:c r="T91" t="str">
        <x:v>Marketplace</x:v>
      </x:c>
      <x:c r="U91" t="str">
        <x:v>Marketplace</x:v>
      </x:c>
      <x:c r="V91" t="str">
        <x:v>Own website</x:v>
      </x:c>
    </x:row>
    <x:row r="92" ht="15" hidden="0" customHeight="1">
      <x:c r="A92" t="str">
        <x:v>OBS-007</x:v>
      </x:c>
      <x:c r="B92" s="70" t="n">
        <x:v>46069</x:v>
      </x:c>
      <x:c r="C92" t="str">
        <x:v>Beauty</x:v>
      </x:c>
      <x:c r="D92" t="str">
        <x:v>Beard Trimmer</x:v>
      </x:c>
      <x:c r="E92" t="str">
        <x:v>Quick-commerce app</x:v>
      </x:c>
      <x:c r="F92" s="72" t="n">
        <x:v>1815</x:v>
      </x:c>
      <x:c r="G92" s="72" t="n">
        <x:v>1785</x:v>
      </x:c>
      <x:c r="H92" s="72" t="n">
        <x:v>1809</x:v>
      </x:c>
      <x:c r="I92" s="72" t="n">
        <x:v>1819</x:v>
      </x:c>
      <x:c r="J92" s="72" t="n">
        <x:f>AVERAGE(G92:I92)</x:f>
        <x:v>1804.3333333333333</x:v>
      </x:c>
      <x:c r="K92" s="72" t="n">
        <x:f>F92-J92</x:f>
        <x:v>10.666666666666742</x:v>
      </x:c>
      <x:c r="L92" s="53" t="n">
        <x:f>IFERROR(K92/J92*100,0)</x:f>
        <x:v>0.5911694069831929</x:v>
      </x:c>
      <x:c r="M92" t="str">
        <x:f>IF(L92&gt;0,"Overpriced",IF(L92&lt;0,"Underpriced","At benchmark"))</x:f>
        <x:v>Overpriced</x:v>
      </x:c>
      <x:c r="N92" t="n">
        <x:v>0</x:v>
      </x:c>
      <x:c r="O92"/>
      <x:c r="P92" s="53" t="str">
        <x:f>IFERROR((F92-O92)/O92*100,"")</x:f>
      </x:c>
      <x:c r="Q92" t="str">
        <x:v>In stock</x:v>
      </x:c>
      <x:c r="R92" t="n">
        <x:v>26</x:v>
      </x:c>
      <x:c r="S92" t="str">
        <x:v>27, 28, 29</x:v>
      </x:c>
      <x:c r="T92" t="str">
        <x:v>Own website</x:v>
      </x:c>
      <x:c r="U92" t="str">
        <x:v>Own website</x:v>
      </x:c>
      <x:c r="V92" t="str">
        <x:v>Own website</x:v>
      </x:c>
    </x:row>
    <x:row r="93" ht="15" hidden="0" customHeight="1">
      <x:c r="A93" t="str">
        <x:v>OBS-025</x:v>
      </x:c>
      <x:c r="B93" s="70" t="n">
        <x:v>46069</x:v>
      </x:c>
      <x:c r="C93" t="str">
        <x:v>Beauty</x:v>
      </x:c>
      <x:c r="D93" t="str">
        <x:v>Beard Trimmer</x:v>
      </x:c>
      <x:c r="E93" t="str">
        <x:v>Own website</x:v>
      </x:c>
      <x:c r="F93" s="72" t="n">
        <x:v>2110</x:v>
      </x:c>
      <x:c r="G93" s="72" t="n">
        <x:v>2161</x:v>
      </x:c>
      <x:c r="H93" s="72" t="n">
        <x:v>1859</x:v>
      </x:c>
      <x:c r="I93" s="72" t="n">
        <x:v>2369</x:v>
      </x:c>
      <x:c r="J93" s="72" t="n">
        <x:f>AVERAGE(G93:I93)</x:f>
        <x:v>2129.6666666666665</x:v>
      </x:c>
      <x:c r="K93" s="72" t="n">
        <x:f>F93-J93</x:f>
        <x:v>-19.666666666666515</x:v>
      </x:c>
      <x:c r="L93" s="53" t="n">
        <x:f>IFERROR(K93/J93*100,0)</x:f>
        <x:v>-0.923462200657373</x:v>
      </x:c>
      <x:c r="M93" t="str">
        <x:f>IF(L93&gt;0,"Overpriced",IF(L93&lt;0,"Underpriced","At benchmark"))</x:f>
        <x:v>Underpriced</x:v>
      </x:c>
      <x:c r="N93" t="n">
        <x:v>1</x:v>
      </x:c>
      <x:c r="O93" t="n">
        <x:v>2369</x:v>
      </x:c>
      <x:c r="P93" s="53" t="n">
        <x:f>IFERROR((F93-O93)/O93*100,"")</x:f>
        <x:v>-10.932883073026593</x:v>
      </x:c>
      <x:c r="Q93" t="str">
        <x:v>In stock</x:v>
      </x:c>
      <x:c r="R93" t="n">
        <x:v>98</x:v>
      </x:c>
      <x:c r="S93" t="str">
        <x:v>99, 100, 101</x:v>
      </x:c>
      <x:c r="T93" t="str">
        <x:v>Marketplace</x:v>
      </x:c>
      <x:c r="U93" t="str">
        <x:v>Marketplace</x:v>
      </x:c>
      <x:c r="V93" t="str">
        <x:v>Own website</x:v>
      </x:c>
    </x:row>
    <x:row r="94" ht="15" hidden="0" customHeight="1">
      <x:c r="A94" t="str">
        <x:v>OBS-029</x:v>
      </x:c>
      <x:c r="B94" s="70" t="n">
        <x:v>46069</x:v>
      </x:c>
      <x:c r="C94" t="str">
        <x:v>Beauty</x:v>
      </x:c>
      <x:c r="D94" t="str">
        <x:v>Beard Trimmer</x:v>
      </x:c>
      <x:c r="E94" t="str">
        <x:v>Marketplace</x:v>
      </x:c>
      <x:c r="F94" s="72" t="n">
        <x:v>1353</x:v>
      </x:c>
      <x:c r="G94" s="72" t="n">
        <x:v>1529</x:v>
      </x:c>
      <x:c r="H94" s="72" t="n">
        <x:v>1705</x:v>
      </x:c>
      <x:c r="I94" s="72" t="n">
        <x:v>1429</x:v>
      </x:c>
      <x:c r="J94" s="72" t="n">
        <x:f>AVERAGE(G94:I94)</x:f>
        <x:v>1554.3333333333333</x:v>
      </x:c>
      <x:c r="K94" s="72" t="n">
        <x:f>F94-J94</x:f>
        <x:v>-201.33333333333326</x:v>
      </x:c>
      <x:c r="L94" s="53" t="n">
        <x:f>IFERROR(K94/J94*100,0)</x:f>
        <x:v>-12.953034527128453</x:v>
      </x:c>
      <x:c r="M94" t="str">
        <x:f>IF(L94&gt;0,"Overpriced",IF(L94&lt;0,"Underpriced","At benchmark"))</x:f>
        <x:v>Underpriced</x:v>
      </x:c>
      <x:c r="N94" t="n">
        <x:v>2</x:v>
      </x:c>
      <x:c r="O94" t="n">
        <x:v>1567</x:v>
      </x:c>
      <x:c r="P94" s="53" t="n">
        <x:f>IFERROR((F94-O94)/O94*100,"")</x:f>
        <x:v>-13.656668793873644</x:v>
      </x:c>
      <x:c r="Q94" t="str">
        <x:v>In stock</x:v>
      </x:c>
      <x:c r="R94" t="n">
        <x:v>114</x:v>
      </x:c>
      <x:c r="S94" t="str">
        <x:v>115, 116, 117</x:v>
      </x:c>
      <x:c r="T94" t="str">
        <x:v>Own website</x:v>
      </x:c>
      <x:c r="U94" t="str">
        <x:v>Marketplace</x:v>
      </x:c>
      <x:c r="V94" t="str">
        <x:v>Marketplace</x:v>
      </x:c>
    </x:row>
    <x:row r="95" ht="15" hidden="0" customHeight="1">
      <x:c r="A95" t="str">
        <x:v>OBS-063</x:v>
      </x:c>
      <x:c r="B95" s="70" t="n">
        <x:v>46069</x:v>
      </x:c>
      <x:c r="C95" t="str">
        <x:v>Electronics</x:v>
      </x:c>
      <x:c r="D95" t="str">
        <x:v>USB-C Charger 65W</x:v>
      </x:c>
      <x:c r="E95" t="str">
        <x:v>Marketplace</x:v>
      </x:c>
      <x:c r="F95" s="72" t="n">
        <x:v>1326</x:v>
      </x:c>
      <x:c r="G95" s="72" t="n">
        <x:v>1454</x:v>
      </x:c>
      <x:c r="H95" s="72" t="n">
        <x:v>1542</x:v>
      </x:c>
      <x:c r="I95" s="72" t="n">
        <x:v>1395</x:v>
      </x:c>
      <x:c r="J95" s="72" t="n">
        <x:f>AVERAGE(G95:I95)</x:f>
        <x:v>1463.6666666666667</x:v>
      </x:c>
      <x:c r="K95" s="72" t="n">
        <x:f>F95-J95</x:f>
        <x:v>-137.66666666666674</x:v>
      </x:c>
      <x:c r="L95" s="53" t="n">
        <x:f>IFERROR(K95/J95*100,0)</x:f>
        <x:v>-9.40560236848099</x:v>
      </x:c>
      <x:c r="M95" t="str">
        <x:f>IF(L95&gt;0,"Overpriced",IF(L95&lt;0,"Underpriced","At benchmark"))</x:f>
        <x:v>Underpriced</x:v>
      </x:c>
      <x:c r="N95" t="n">
        <x:v>2</x:v>
      </x:c>
      <x:c r="O95" t="n">
        <x:v>1424.5</x:v>
      </x:c>
      <x:c r="P95" s="53" t="n">
        <x:f>IFERROR((F95-O95)/O95*100,"")</x:f>
        <x:v>-6.914706914706915</x:v>
      </x:c>
      <x:c r="Q95" t="str">
        <x:v>In stock</x:v>
      </x:c>
      <x:c r="R95" t="n">
        <x:v>250</x:v>
      </x:c>
      <x:c r="S95" t="str">
        <x:v>251, 252, 253</x:v>
      </x:c>
      <x:c r="T95" t="str">
        <x:v>Marketplace</x:v>
      </x:c>
      <x:c r="U95" t="str">
        <x:v>Own website</x:v>
      </x:c>
      <x:c r="V95" t="str">
        <x:v>Marketplace</x:v>
      </x:c>
    </x:row>
    <x:row r="96" ht="15" hidden="0" customHeight="1">
      <x:c r="A96" t="str">
        <x:v>OBS-057</x:v>
      </x:c>
      <x:c r="B96" s="70" t="n">
        <x:v>46069</x:v>
      </x:c>
      <x:c r="C96" t="str">
        <x:v>Fashion</x:v>
      </x:c>
      <x:c r="D96" t="str">
        <x:v>Formal Shirt</x:v>
      </x:c>
      <x:c r="E96" t="str">
        <x:v>Marketplace</x:v>
      </x:c>
      <x:c r="F96" s="72" t="n">
        <x:v>1697</x:v>
      </x:c>
      <x:c r="G96" s="72" t="n">
        <x:v>1579</x:v>
      </x:c>
      <x:c r="H96" s="72" t="n">
        <x:v>1578</x:v>
      </x:c>
      <x:c r="I96" s="72" t="n">
        <x:v>1561</x:v>
      </x:c>
      <x:c r="J96" s="72" t="n">
        <x:f>AVERAGE(G96:I96)</x:f>
        <x:v>1572.6666666666667</x:v>
      </x:c>
      <x:c r="K96" s="72" t="n">
        <x:f>F96-J96</x:f>
        <x:v>124.33333333333326</x:v>
      </x:c>
      <x:c r="L96" s="53" t="n">
        <x:f>IFERROR(K96/J96*100,0)</x:f>
        <x:v>7.905892327257308</x:v>
      </x:c>
      <x:c r="M96" t="str">
        <x:f>IF(L96&gt;0,"Overpriced",IF(L96&lt;0,"Underpriced","At benchmark"))</x:f>
        <x:v>Overpriced</x:v>
      </x:c>
      <x:c r="N96" t="n">
        <x:v>0</x:v>
      </x:c>
      <x:c r="O96"/>
      <x:c r="P96" s="53" t="str">
        <x:f>IFERROR((F96-O96)/O96*100,"")</x:f>
      </x:c>
      <x:c r="Q96" t="str">
        <x:v>In stock</x:v>
      </x:c>
      <x:c r="R96" t="n">
        <x:v>226</x:v>
      </x:c>
      <x:c r="S96" t="str">
        <x:v>227, 228, 229</x:v>
      </x:c>
      <x:c r="T96" t="str">
        <x:v>Quick-commerce app</x:v>
      </x:c>
      <x:c r="U96" t="str">
        <x:v>Own website</x:v>
      </x:c>
      <x:c r="V96" t="str">
        <x:v>Own website</x:v>
      </x:c>
    </x:row>
    <x:row r="97" ht="15" hidden="0" customHeight="1">
      <x:c r="A97" t="str">
        <x:v>OBS-003</x:v>
      </x:c>
      <x:c r="B97" s="70" t="n">
        <x:v>46069</x:v>
      </x:c>
      <x:c r="C97" t="str">
        <x:v>Grocery</x:v>
      </x:c>
      <x:c r="D97" t="str">
        <x:v>Cold-pressed Oil 1L</x:v>
      </x:c>
      <x:c r="E97" t="str">
        <x:v>Quick-commerce app</x:v>
      </x:c>
      <x:c r="F97" s="72" t="n">
        <x:v>305</x:v>
      </x:c>
      <x:c r="G97" s="72" t="n">
        <x:v>350</x:v>
      </x:c>
      <x:c r="H97" s="72" t="n">
        <x:v>378</x:v>
      </x:c>
      <x:c r="I97" s="72" t="n">
        <x:v>321</x:v>
      </x:c>
      <x:c r="J97" s="72" t="n">
        <x:f>AVERAGE(G97:I97)</x:f>
        <x:v>349.6666666666667</x:v>
      </x:c>
      <x:c r="K97" s="72" t="n">
        <x:f>F97-J97</x:f>
        <x:v>-44.666666666666686</x:v>
      </x:c>
      <x:c r="L97" s="53" t="n">
        <x:f>IFERROR(K97/J97*100,0)</x:f>
        <x:v>-12.774070543374647</x:v>
      </x:c>
      <x:c r="M97" t="str">
        <x:f>IF(L97&gt;0,"Overpriced",IF(L97&lt;0,"Underpriced","At benchmark"))</x:f>
        <x:v>Underpriced</x:v>
      </x:c>
      <x:c r="N97" t="n">
        <x:v>2</x:v>
      </x:c>
      <x:c r="O97" t="n">
        <x:v>335.5</x:v>
      </x:c>
      <x:c r="P97" s="53" t="n">
        <x:f>IFERROR((F97-O97)/O97*100,"")</x:f>
        <x:v>-9.090909090909092</x:v>
      </x:c>
      <x:c r="Q97" t="str">
        <x:v>In stock</x:v>
      </x:c>
      <x:c r="R97" t="n">
        <x:v>10</x:v>
      </x:c>
      <x:c r="S97" t="str">
        <x:v>11, 12, 13</x:v>
      </x:c>
      <x:c r="T97" t="str">
        <x:v>Quick-commerce app</x:v>
      </x:c>
      <x:c r="U97" t="str">
        <x:v>Own website</x:v>
      </x:c>
      <x:c r="V97" t="str">
        <x:v>Quick-commerce app</x:v>
      </x:c>
    </x:row>
    <x:row r="98" ht="15" hidden="0" customHeight="1">
      <x:c r="A98" t="str">
        <x:v>OBS-015</x:v>
      </x:c>
      <x:c r="B98" s="70" t="n">
        <x:v>46069</x:v>
      </x:c>
      <x:c r="C98" t="str">
        <x:v>Grocery</x:v>
      </x:c>
      <x:c r="D98" t="str">
        <x:v>Cold-pressed Oil 1L</x:v>
      </x:c>
      <x:c r="E98" t="str">
        <x:v>Quick-commerce app</x:v>
      </x:c>
      <x:c r="F98" s="72" t="n">
        <x:v>405</x:v>
      </x:c>
      <x:c r="G98" s="72" t="n">
        <x:v>471</x:v>
      </x:c>
      <x:c r="H98" s="72" t="n">
        <x:v>414</x:v>
      </x:c>
      <x:c r="I98" s="72" t="n">
        <x:v>412</x:v>
      </x:c>
      <x:c r="J98" s="72" t="n">
        <x:f>AVERAGE(G98:I98)</x:f>
        <x:v>432.3333333333333</x:v>
      </x:c>
      <x:c r="K98" s="72" t="n">
        <x:f>F98-J98</x:f>
        <x:v>-27.333333333333314</x:v>
      </x:c>
      <x:c r="L98" s="53" t="n">
        <x:f>IFERROR(K98/J98*100,0)</x:f>
        <x:v>-6.322282189668462</x:v>
      </x:c>
      <x:c r="M98" t="str">
        <x:f>IF(L98&gt;0,"Overpriced",IF(L98&lt;0,"Underpriced","At benchmark"))</x:f>
        <x:v>Underpriced</x:v>
      </x:c>
      <x:c r="N98" t="n">
        <x:v>1</x:v>
      </x:c>
      <x:c r="O98" t="n">
        <x:v>471</x:v>
      </x:c>
      <x:c r="P98" s="53" t="n">
        <x:f>IFERROR((F98-O98)/O98*100,"")</x:f>
        <x:v>-14.012738853503185</x:v>
      </x:c>
      <x:c r="Q98" t="str">
        <x:v>In stock</x:v>
      </x:c>
      <x:c r="R98" t="n">
        <x:v>58</x:v>
      </x:c>
      <x:c r="S98" t="str">
        <x:v>59, 60, 61</x:v>
      </x:c>
      <x:c r="T98" t="str">
        <x:v>Quick-commerce app</x:v>
      </x:c>
      <x:c r="U98" t="str">
        <x:v>Own website</x:v>
      </x:c>
      <x:c r="V98" t="str">
        <x:v>Own website</x:v>
      </x:c>
    </x:row>
    <x:row r="99" ht="15" hidden="0" customHeight="1">
      <x:c r="A99" t="str">
        <x:v>OBS-033</x:v>
      </x:c>
      <x:c r="B99" s="70" t="n">
        <x:v>46069</x:v>
      </x:c>
      <x:c r="C99" t="str">
        <x:v>Grocery</x:v>
      </x:c>
      <x:c r="D99" t="str">
        <x:v>Cold-pressed Oil 1L</x:v>
      </x:c>
      <x:c r="E99" t="str">
        <x:v>Own website</x:v>
      </x:c>
      <x:c r="F99" s="72" t="n">
        <x:v>400</x:v>
      </x:c>
      <x:c r="G99" s="72" t="n">
        <x:v>392</x:v>
      </x:c>
      <x:c r="H99" s="72" t="n">
        <x:v>457</x:v>
      </x:c>
      <x:c r="I99" s="72" t="n">
        <x:v>406</x:v>
      </x:c>
      <x:c r="J99" s="72" t="n">
        <x:f>AVERAGE(G99:I99)</x:f>
        <x:v>418.3333333333333</x:v>
      </x:c>
      <x:c r="K99" s="72" t="n">
        <x:f>F99-J99</x:f>
        <x:v>-18.333333333333314</x:v>
      </x:c>
      <x:c r="L99" s="53" t="n">
        <x:f>IFERROR(K99/J99*100,0)</x:f>
        <x:v>-4.382470119521908</x:v>
      </x:c>
      <x:c r="M99" t="str">
        <x:f>IF(L99&gt;0,"Overpriced",IF(L99&lt;0,"Underpriced","At benchmark"))</x:f>
        <x:v>Underpriced</x:v>
      </x:c>
      <x:c r="N99" t="n">
        <x:v>1</x:v>
      </x:c>
      <x:c r="O99" t="n">
        <x:v>406</x:v>
      </x:c>
      <x:c r="P99" s="53" t="n">
        <x:f>IFERROR((F99-O99)/O99*100,"")</x:f>
        <x:v>-1.477832512315271</x:v>
      </x:c>
      <x:c r="Q99" t="str">
        <x:v>In stock</x:v>
      </x:c>
      <x:c r="R99" t="n">
        <x:v>130</x:v>
      </x:c>
      <x:c r="S99" t="str">
        <x:v>131, 132, 133</x:v>
      </x:c>
      <x:c r="T99" t="str">
        <x:v>Marketplace</x:v>
      </x:c>
      <x:c r="U99" t="str">
        <x:v>Marketplace</x:v>
      </x:c>
      <x:c r="V99" t="str">
        <x:v>Own website</x:v>
      </x:c>
    </x:row>
    <x:row r="100" ht="15" hidden="0" customHeight="1">
      <x:c r="A100" t="str">
        <x:v>OBS-091</x:v>
      </x:c>
      <x:c r="B100" s="70" t="n">
        <x:v>46069</x:v>
      </x:c>
      <x:c r="C100" t="str">
        <x:v>Grocery</x:v>
      </x:c>
      <x:c r="D100" t="str">
        <x:v>Dry Fruits Mix 500g</x:v>
      </x:c>
      <x:c r="E100" t="str">
        <x:v>Marketplace</x:v>
      </x:c>
      <x:c r="F100" s="72" t="n">
        <x:v>851</x:v>
      </x:c>
      <x:c r="G100" s="72" t="n">
        <x:v>969</x:v>
      </x:c>
      <x:c r="H100" s="72" t="n">
        <x:v>772</x:v>
      </x:c>
      <x:c r="I100" s="72" t="n">
        <x:v>792</x:v>
      </x:c>
      <x:c r="J100" s="72" t="n">
        <x:f>AVERAGE(G100:I100)</x:f>
        <x:v>844.3333333333334</x:v>
      </x:c>
      <x:c r="K100" s="72" t="n">
        <x:f>F100-J100</x:f>
        <x:v>6.666666666666629</x:v>
      </x:c>
      <x:c r="L100" s="53" t="n">
        <x:f>IFERROR(K100/J100*100,0)</x:f>
        <x:v>0.7895775759968372</x:v>
      </x:c>
      <x:c r="M100" t="str">
        <x:f>IF(L100&gt;0,"Overpriced",IF(L100&lt;0,"Underpriced","At benchmark"))</x:f>
        <x:v>Overpriced</x:v>
      </x:c>
      <x:c r="N100" t="n">
        <x:v>0</x:v>
      </x:c>
      <x:c r="O100"/>
      <x:c r="P100" s="53" t="str">
        <x:f>IFERROR((F100-O100)/O100*100,"")</x:f>
      </x:c>
      <x:c r="Q100" t="str">
        <x:v>In stock</x:v>
      </x:c>
      <x:c r="R100" t="n">
        <x:v>362</x:v>
      </x:c>
      <x:c r="S100" t="str">
        <x:v>363, 364, 365</x:v>
      </x:c>
      <x:c r="T100" t="str">
        <x:v>Own website</x:v>
      </x:c>
      <x:c r="U100" t="str">
        <x:v>Own website</x:v>
      </x:c>
      <x:c r="V100" t="str">
        <x:v>Quick-commerce app</x:v>
      </x:c>
    </x:row>
    <x:row r="101" ht="15" hidden="0" customHeight="1">
      <x:c r="A101" t="str">
        <x:v>OBS-076</x:v>
      </x:c>
      <x:c r="B101" s="70" t="n">
        <x:v>46069</x:v>
      </x:c>
      <x:c r="C101" t="str">
        <x:v>Home &amp; Kitchen</x:v>
      </x:c>
      <x:c r="D101" t="str">
        <x:v>Pressure Cooker 5L</x:v>
      </x:c>
      <x:c r="E101" t="str">
        <x:v>Marketplace</x:v>
      </x:c>
      <x:c r="F101" s="72" t="n">
        <x:v>1315</x:v>
      </x:c>
      <x:c r="G101" s="72" t="n">
        <x:v>1371</x:v>
      </x:c>
      <x:c r="H101" s="72" t="n">
        <x:v>1750</x:v>
      </x:c>
      <x:c r="I101" s="72" t="n">
        <x:v>1580</x:v>
      </x:c>
      <x:c r="J101" s="72" t="n">
        <x:f>AVERAGE(G101:I101)</x:f>
        <x:v>1567</x:v>
      </x:c>
      <x:c r="K101" s="72" t="n">
        <x:f>F101-J101</x:f>
        <x:v>-252</x:v>
      </x:c>
      <x:c r="L101" s="53" t="n">
        <x:f>IFERROR(K101/J101*100,0)</x:f>
        <x:v>-16.081684747925973</x:v>
      </x:c>
      <x:c r="M101" t="str">
        <x:f>IF(L101&gt;0,"Overpriced",IF(L101&lt;0,"Underpriced","At benchmark"))</x:f>
        <x:v>Underpriced</x:v>
      </x:c>
      <x:c r="N101" t="n">
        <x:v>1</x:v>
      </x:c>
      <x:c r="O101" t="n">
        <x:v>1580</x:v>
      </x:c>
      <x:c r="P101" s="53" t="n">
        <x:f>IFERROR((F101-O101)/O101*100,"")</x:f>
        <x:v>-16.77215189873418</x:v>
      </x:c>
      <x:c r="Q101" t="str">
        <x:v>In stock</x:v>
      </x:c>
      <x:c r="R101" t="n">
        <x:v>302</x:v>
      </x:c>
      <x:c r="S101" t="str">
        <x:v>303, 304, 305</x:v>
      </x:c>
      <x:c r="T101" t="str">
        <x:v>Quick-commerce app</x:v>
      </x:c>
      <x:c r="U101" t="str">
        <x:v>Own website</x:v>
      </x:c>
      <x:c r="V101" t="str">
        <x:v>Marketplace</x:v>
      </x:c>
    </x:row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L2:L10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0.880000114440918" hidden="0" customWidth="1"/>
    <x:col min="3" max="3" width="15" hidden="0" customWidth="1"/>
    <x:col min="4" max="4" width="20.8799991607666" hidden="0" customWidth="1"/>
    <x:col min="5" max="5" width="10.880000114440918" hidden="0" customWidth="1"/>
    <x:col min="6" max="6" width="10.880000114440918" hidden="0" customWidth="1"/>
    <x:col min="7" max="7" width="13.75" hidden="0" customWidth="1"/>
    <x:col min="8" max="8" width="14.5" hidden="0" customWidth="1"/>
    <x:col min="9" max="9" width="24.1299991607666" hidden="0" customWidth="1"/>
    <x:col min="10" max="10" width="9.130000114440918" hidden="0" customWidth="1"/>
    <x:col min="11" max="11" width="10.25" hidden="0" customWidth="1"/>
    <x:col min="12" max="12" width="11.880000114440918" hidden="0" customWidth="1"/>
  </x:cols>
  <x:sheetData>
    <x:row r="1" ht="15" hidden="0" customHeight="1">
      <x:c r="A1" s="47" t="str">
        <x:v>category</x:v>
      </x:c>
      <x:c r="B1" s="47" t="str">
        <x:v>observations</x:v>
      </x:c>
      <x:c r="C1" s="47" t="str">
        <x:v>avg_our_price_inr</x:v>
      </x:c>
      <x:c r="D1" s="47" t="str">
        <x:v>avg_competitor_price_inr</x:v>
      </x:c>
      <x:c r="E1" s="47" t="str">
        <x:v>avg_gap_inr</x:v>
      </x:c>
      <x:c r="F1" s="47" t="str">
        <x:v>avg_gap_pct</x:v>
      </x:c>
      <x:c r="G1" s="47" t="str">
        <x:v>median_gap_pct</x:v>
      </x:c>
      <x:c r="H1" s="47" t="str">
        <x:v>avg_abs_gap_pct</x:v>
      </x:c>
      <x:c r="I1" s="47" t="str">
        <x:v>same_platform_coverage_pct</x:v>
      </x:c>
      <x:c r="J1" s="47" t="str">
        <x:v>overpriced</x:v>
      </x:c>
      <x:c r="K1" s="47" t="str">
        <x:v>underpriced</x:v>
      </x:c>
      <x:c r="L1" s="47" t="str">
        <x:v>at_benchmark</x:v>
      </x:c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41" t="str">
        <x:v>Fashion</x:v>
      </x:c>
      <x:c r="B2" s="41" t="n">
        <x:v>15</x:v>
      </x:c>
      <x:c r="C2" s="41" t="n">
        <x:v>1767.2</x:v>
      </x:c>
      <x:c r="D2" s="41" t="n">
        <x:v>1733.1555555555556</x:v>
      </x:c>
      <x:c r="E2" s="41" t="n">
        <x:v>34.04444444444446</x:v>
      </x:c>
      <x:c r="F2" s="41" t="n">
        <x:v>2.341273381930637</x:v>
      </x:c>
      <x:c r="G2" s="41" t="n">
        <x:v>3.51126446113254</x:v>
      </x:c>
      <x:c r="H2" s="41" t="n">
        <x:v>8.869134308843062</x:v>
      </x:c>
      <x:c r="I2" s="41" t="n">
        <x:v>66.66666666666666</x:v>
      </x:c>
      <x:c r="J2" s="41" t="n">
        <x:v>9</x:v>
      </x:c>
      <x:c r="K2" s="41" t="n">
        <x:v>6</x:v>
      </x:c>
      <x:c r="L2" s="41" t="n">
        <x:v>0</x:v>
      </x:c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5" hidden="0" customHeight="1">
      <x:c r="A3" s="41" t="str">
        <x:v>Electronics</x:v>
      </x:c>
      <x:c r="B3" s="41" t="n">
        <x:v>15</x:v>
      </x:c>
      <x:c r="C3" s="41" t="n">
        <x:v>3886.6666666666665</x:v>
      </x:c>
      <x:c r="D3" s="41" t="n">
        <x:v>3855.6666666666665</x:v>
      </x:c>
      <x:c r="E3" s="41" t="n">
        <x:v>31.000000000000046</x:v>
      </x:c>
      <x:c r="F3" s="41" t="n">
        <x:v>-0.4100765298677692</x:v>
      </x:c>
      <x:c r="G3" s="41" t="n">
        <x:v>-2.6305828917486713</x:v>
      </x:c>
      <x:c r="H3" s="41" t="n">
        <x:v>6.813517870198073</x:v>
      </x:c>
      <x:c r="I3" s="41" t="n">
        <x:v>40</x:v>
      </x:c>
      <x:c r="J3" s="41" t="n">
        <x:v>6</x:v>
      </x:c>
      <x:c r="K3" s="41" t="n">
        <x:v>9</x:v>
      </x:c>
      <x:c r="L3" s="41" t="n">
        <x:v>0</x:v>
      </x:c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1" t="str">
        <x:v>Beauty</x:v>
      </x:c>
      <x:c r="B4" s="41" t="n">
        <x:v>21</x:v>
      </x:c>
      <x:c r="C4" s="41" t="n">
        <x:v>1172.142857142857</x:v>
      </x:c>
      <x:c r="D4" s="41" t="n">
        <x:v>1174.5396825396824</x:v>
      </x:c>
      <x:c r="E4" s="41" t="n">
        <x:v>-2.396825396825381</x:v>
      </x:c>
      <x:c r="F4" s="41" t="n">
        <x:v>-0.5313099544259517</x:v>
      </x:c>
      <x:c r="G4" s="41" t="n">
        <x:v>0.5911694069831929</x:v>
      </x:c>
      <x:c r="H4" s="41" t="n">
        <x:v>7.899860842687892</x:v>
      </x:c>
      <x:c r="I4" s="41" t="n">
        <x:v>66.66666666666666</x:v>
      </x:c>
      <x:c r="J4" s="41" t="n">
        <x:v>11</x:v>
      </x:c>
      <x:c r="K4" s="41" t="n">
        <x:v>10</x:v>
      </x:c>
      <x:c r="L4" s="41" t="n">
        <x:v>0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1" t="str">
        <x:v>Home &amp; Kitchen</x:v>
      </x:c>
      <x:c r="B5" s="41" t="n">
        <x:v>20</x:v>
      </x:c>
      <x:c r="C5" s="41" t="n">
        <x:v>2341.9</x:v>
      </x:c>
      <x:c r="D5" s="41" t="n">
        <x:v>2383.2</x:v>
      </x:c>
      <x:c r="E5" s="41" t="n">
        <x:v>-41.30000000000001</x:v>
      </x:c>
      <x:c r="F5" s="41" t="n">
        <x:v>-0.9021385959354793</x:v>
      </x:c>
      <x:c r="G5" s="41" t="n">
        <x:v>-2.2021781535686933</x:v>
      </x:c>
      <x:c r="H5" s="41" t="n">
        <x:v>8.53330879650154</x:v>
      </x:c>
      <x:c r="I5" s="41" t="n">
        <x:v>55.00000000000001</x:v>
      </x:c>
      <x:c r="J5" s="41" t="n">
        <x:v>9</x:v>
      </x:c>
      <x:c r="K5" s="41" t="n">
        <x:v>11</x:v>
      </x:c>
      <x:c r="L5" s="41" t="n">
        <x:v>0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1" t="str">
        <x:v>Grocery</x:v>
      </x:c>
      <x:c r="B6" s="41" t="n">
        <x:v>29</x:v>
      </x:c>
      <x:c r="C6" s="41" t="n">
        <x:v>355.6896551724138</x:v>
      </x:c>
      <x:c r="D6" s="41" t="n">
        <x:v>361.60919540229884</x:v>
      </x:c>
      <x:c r="E6" s="41" t="n">
        <x:v>-5.91954022988505</x:v>
      </x:c>
      <x:c r="F6" s="41" t="n">
        <x:v>-2.284910626547214</x:v>
      </x:c>
      <x:c r="G6" s="41" t="n">
        <x:v>-0.23223409196469513</x:v>
      </x:c>
      <x:c r="H6" s="41" t="n">
        <x:v>7.226907108785435</x:v>
      </x:c>
      <x:c r="I6" s="41" t="n">
        <x:v>58.620689655172406</x:v>
      </x:c>
      <x:c r="J6" s="41" t="n">
        <x:v>14</x:v>
      </x:c>
      <x:c r="K6" s="41" t="n">
        <x:v>15</x:v>
      </x:c>
      <x:c r="L6" s="41" t="n">
        <x:v>0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5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5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15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15" hidden="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 ht="15" hidden="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 ht="15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 ht="15" hidden="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 ht="15" hidden="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 ht="15" hidden="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 ht="15" hidden="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 ht="15" hidden="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 ht="15" hidden="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 ht="15" hidden="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 ht="15" hidden="0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 ht="15" hidden="0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 ht="15" hidden="0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 ht="15" hidden="0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 ht="15" hidden="0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 ht="15" hidden="0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 ht="15" hidden="0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 ht="15" hidden="0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 ht="15" hidden="0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 ht="15" hidden="0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 ht="15" hidden="0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 ht="15" hidden="0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 ht="15" hidden="0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 ht="15" hidden="0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 ht="15" hidden="0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 ht="15" hidden="0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 ht="15" hidden="0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 ht="15" hidden="0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 ht="15" hidden="0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 ht="15" hidden="0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 ht="15" hidden="0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.3799991607666" hidden="0" customWidth="1"/>
    <x:col min="2" max="2" width="10.880000114440918" hidden="0" customWidth="1"/>
    <x:col min="3" max="3" width="15" hidden="0" customWidth="1"/>
    <x:col min="4" max="4" width="20.8799991607666" hidden="0" customWidth="1"/>
    <x:col min="5" max="5" width="10.880000114440918" hidden="0" customWidth="1"/>
    <x:col min="6" max="6" width="10.880000114440918" hidden="0" customWidth="1"/>
    <x:col min="7" max="7" width="13.75" hidden="0" customWidth="1"/>
    <x:col min="8" max="8" width="14.5" hidden="0" customWidth="1"/>
    <x:col min="9" max="9" width="24.1299991607666" hidden="0" customWidth="1"/>
    <x:col min="10" max="10" width="9.130000114440918" hidden="0" customWidth="1"/>
    <x:col min="11" max="11" width="10.25" hidden="0" customWidth="1"/>
    <x:col min="12" max="12" width="11.880000114440918" hidden="0" customWidth="1"/>
  </x:cols>
  <x:sheetData>
    <x:row r="1" ht="15" hidden="0" customHeight="1">
      <x:c r="A1" s="47" t="str">
        <x:v>our_platform</x:v>
      </x:c>
      <x:c r="B1" s="47" t="str">
        <x:v>observations</x:v>
      </x:c>
      <x:c r="C1" s="47" t="str">
        <x:v>avg_our_price_inr</x:v>
      </x:c>
      <x:c r="D1" s="47" t="str">
        <x:v>avg_competitor_price_inr</x:v>
      </x:c>
      <x:c r="E1" s="47" t="str">
        <x:v>avg_gap_inr</x:v>
      </x:c>
      <x:c r="F1" s="47" t="str">
        <x:v>avg_gap_pct</x:v>
      </x:c>
      <x:c r="G1" s="47" t="str">
        <x:v>median_gap_pct</x:v>
      </x:c>
      <x:c r="H1" s="47" t="str">
        <x:v>avg_abs_gap_pct</x:v>
      </x:c>
      <x:c r="I1" s="47" t="str">
        <x:v>same_platform_coverage_pct</x:v>
      </x:c>
      <x:c r="J1" s="47" t="str">
        <x:v>overpriced</x:v>
      </x:c>
      <x:c r="K1" s="47" t="str">
        <x:v>underpriced</x:v>
      </x:c>
      <x:c r="L1" s="47" t="str">
        <x:v>at_benchmark</x:v>
      </x:c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41" t="str">
        <x:v>Quick-commerce app</x:v>
      </x:c>
      <x:c r="B2" s="41" t="n">
        <x:v>32</x:v>
      </x:c>
      <x:c r="C2" s="41" t="n">
        <x:v>1571.28125</x:v>
      </x:c>
      <x:c r="D2" s="41" t="n">
        <x:v>1522.0833333333333</x:v>
      </x:c>
      <x:c r="E2" s="41" t="n">
        <x:v>49.19791666666666</x:v>
      </x:c>
      <x:c r="F2" s="41" t="n">
        <x:v>0.8605951420736692</x:v>
      </x:c>
      <x:c r="G2" s="41" t="n">
        <x:v>1.4919757354856003</x:v>
      </x:c>
      <x:c r="H2" s="41" t="n">
        <x:v>7.3309031192280525</x:v>
      </x:c>
      <x:c r="I2" s="41" t="n">
        <x:v>50</x:v>
      </x:c>
      <x:c r="J2" s="41" t="n">
        <x:v>18</x:v>
      </x:c>
      <x:c r="K2" s="41" t="n">
        <x:v>14</x:v>
      </x:c>
      <x:c r="L2" s="41" t="n">
        <x:v>0</x:v>
      </x:c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5" hidden="0" customHeight="1">
      <x:c r="A3" s="41" t="str">
        <x:v>Own website</x:v>
      </x:c>
      <x:c r="B3" s="41" t="n">
        <x:v>31</x:v>
      </x:c>
      <x:c r="C3" s="41" t="n">
        <x:v>1862.0967741935483</x:v>
      </x:c>
      <x:c r="D3" s="41" t="n">
        <x:v>1844.0860215053763</x:v>
      </x:c>
      <x:c r="E3" s="41" t="n">
        <x:v>18.010752688172055</x:v>
      </x:c>
      <x:c r="F3" s="41" t="n">
        <x:v>-0.9949323567182095</x:v>
      </x:c>
      <x:c r="G3" s="41" t="n">
        <x:v>-0.923462200657373</x:v>
      </x:c>
      <x:c r="H3" s="41" t="n">
        <x:v>7.385772657065432</x:v>
      </x:c>
      <x:c r="I3" s="41" t="n">
        <x:v>64.51612903225806</x:v>
      </x:c>
      <x:c r="J3" s="41" t="n">
        <x:v>14</x:v>
      </x:c>
      <x:c r="K3" s="41" t="n">
        <x:v>17</x:v>
      </x:c>
      <x:c r="L3" s="41" t="n">
        <x:v>0</x:v>
      </x:c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1" t="str">
        <x:v>Marketplace</x:v>
      </x:c>
      <x:c r="B4" s="41" t="n">
        <x:v>37</x:v>
      </x:c>
      <x:c r="C4" s="41" t="n">
        <x:v>1582.972972972973</x:v>
      </x:c>
      <x:c r="D4" s="41" t="n">
        <x:v>1642.5675675675675</x:v>
      </x:c>
      <x:c r="E4" s="41" t="n">
        <x:v>-59.59459459459457</x:v>
      </x:c>
      <x:c r="F4" s="41" t="n">
        <x:v>-1.7078615632073963</x:v>
      </x:c>
      <x:c r="G4" s="41" t="n">
        <x:v>-2.6305828917486713</x:v>
      </x:c>
      <x:c r="H4" s="41" t="n">
        <x:v>8.590148386014732</x:v>
      </x:c>
      <x:c r="I4" s="41" t="n">
        <x:v>59.45945945945946</x:v>
      </x:c>
      <x:c r="J4" s="41" t="n">
        <x:v>17</x:v>
      </x:c>
      <x:c r="K4" s="41" t="n">
        <x:v>20</x:v>
      </x:c>
      <x:c r="L4" s="41" t="n">
        <x:v>0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1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5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5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15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15" hidden="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 ht="15" hidden="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 ht="15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 ht="15" hidden="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 ht="15" hidden="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 ht="15" hidden="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 ht="15" hidden="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 ht="15" hidden="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 ht="15" hidden="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 ht="15" hidden="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 ht="15" hidden="0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 ht="15" hidden="0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 ht="15" hidden="0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 ht="15" hidden="0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 ht="15" hidden="0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 ht="15" hidden="0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 ht="15" hidden="0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 ht="15" hidden="0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 ht="15" hidden="0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 ht="15" hidden="0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 ht="15" hidden="0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 ht="15" hidden="0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 ht="15" hidden="0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 ht="15" hidden="0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 ht="15" hidden="0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 ht="15" hidden="0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 ht="15" hidden="0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 ht="15" hidden="0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 ht="15" hidden="0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 ht="15" hidden="0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 ht="15" hidden="0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18.3799991607666" hidden="0" customWidth="1"/>
    <x:col min="3" max="3" width="10.880000114440918" hidden="0" customWidth="1"/>
    <x:col min="4" max="4" width="10.880000114440918" hidden="0" customWidth="1"/>
    <x:col min="5" max="5" width="13.75" hidden="0" customWidth="1"/>
    <x:col min="6" max="6" width="14.5" hidden="0" customWidth="1"/>
    <x:col min="7" max="7" width="15" hidden="0" customWidth="1"/>
    <x:col min="8" max="8" width="20.8799991607666" hidden="0" customWidth="1"/>
    <x:col min="9" max="9" width="9.880000114440918" hidden="0" customWidth="1"/>
    <x:col min="10" max="10" width="24.1299991607666" hidden="0" customWidth="1"/>
    <x:col min="11" max="11" width="12.25" hidden="0" customWidth="1"/>
    <x:col min="12" max="12" width="16.5" hidden="0" customWidth="1"/>
    <x:col min="13" max="13" width="22.3799991607666" hidden="0" customWidth="1"/>
  </x:cols>
  <x:sheetData>
    <x:row r="1" ht="15" hidden="0" customHeight="1">
      <x:c r="A1" s="47" t="str">
        <x:v>category</x:v>
      </x:c>
      <x:c r="B1" s="47" t="str">
        <x:v>product</x:v>
      </x:c>
      <x:c r="C1" s="47" t="str">
        <x:v>observations</x:v>
      </x:c>
      <x:c r="D1" s="47" t="str">
        <x:v>avg_gap_pct</x:v>
      </x:c>
      <x:c r="E1" s="47" t="str">
        <x:v>median_gap_pct</x:v>
      </x:c>
      <x:c r="F1" s="47" t="str">
        <x:v>avg_abs_gap_pct</x:v>
      </x:c>
      <x:c r="G1" s="47" t="str">
        <x:v>avg_our_price_inr</x:v>
      </x:c>
      <x:c r="H1" s="47" t="str">
        <x:v>avg_competitor_price_inr</x:v>
      </x:c>
      <x:c r="I1" s="47" t="str">
        <x:v>latest_week</x:v>
      </x:c>
      <x:c r="J1" s="47" t="str">
        <x:v>same_platform_coverage_pct</x:v>
      </x:c>
      <x:c r="K1" s="47" t="str">
        <x:v>latest_gap_pct</x:v>
      </x:c>
      <x:c r="L1" s="47" t="str">
        <x:v>latest_our_price_inr</x:v>
      </x:c>
      <x:c r="M1" s="47" t="str">
        <x:v>latest_competitor_price_inr</x:v>
      </x:c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41" t="str">
        <x:v>Fashion</x:v>
      </x:c>
      <x:c r="B2" s="41" t="str">
        <x:v>Running Shoes</x:v>
      </x:c>
      <x:c r="C2" s="41" t="n">
        <x:v>2</x:v>
      </x:c>
      <x:c r="D2" s="41" t="n">
        <x:v>12.759529827875152</x:v>
      </x:c>
      <x:c r="E2" s="41" t="n">
        <x:v>12.759529827875152</x:v>
      </x:c>
      <x:c r="F2" s="41" t="n">
        <x:v>12.759529827875152</x:v>
      </x:c>
      <x:c r="G2" s="41" t="n">
        <x:v>3333.5</x:v>
      </x:c>
      <x:c r="H2" s="41" t="n">
        <x:v>2963</x:v>
      </x:c>
      <x:c r="I2" s="41" t="n">
        <x:v>46034</x:v>
      </x:c>
      <x:c r="J2" s="41" t="n">
        <x:v>50</x:v>
      </x:c>
      <x:c r="K2" s="41" t="n">
        <x:v>10.731414868105515</x:v>
      </x:c>
      <x:c r="L2" s="41" t="n">
        <x:v>3694</x:v>
      </x:c>
      <x:c r="M2" s="41" t="n">
        <x:v>3336</x:v>
      </x:c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5" hidden="0" customHeight="1">
      <x:c r="A3" s="41" t="str">
        <x:v>Fashion</x:v>
      </x:c>
      <x:c r="B3" s="41" t="str">
        <x:v>Formal Shirt</x:v>
      </x:c>
      <x:c r="C3" s="41" t="n">
        <x:v>3</x:v>
      </x:c>
      <x:c r="D3" s="41" t="n">
        <x:v>5.509918242005163</x:v>
      </x:c>
      <x:c r="E3" s="41" t="n">
        <x:v>7.905892327257308</x:v>
      </x:c>
      <x:c r="F3" s="41" t="n">
        <x:v>8.159626774066636</x:v>
      </x:c>
      <x:c r="G3" s="41" t="n">
        <x:v>1789.3333333333333</x:v>
      </x:c>
      <x:c r="H3" s="41" t="n">
        <x:v>1703.5555555555557</x:v>
      </x:c>
      <x:c r="I3" s="41" t="n">
        <x:v>46069</x:v>
      </x:c>
      <x:c r="J3" s="41" t="n">
        <x:v>33.33333333333333</x:v>
      </x:c>
      <x:c r="K3" s="41" t="n">
        <x:v>7.905892327257308</x:v>
      </x:c>
      <x:c r="L3" s="41" t="n">
        <x:v>1697</x:v>
      </x:c>
      <x:c r="M3" s="41" t="n">
        <x:v>1572.6666666666667</x:v>
      </x:c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1" t="str">
        <x:v>Grocery</x:v>
      </x:c>
      <x:c r="B4" s="41" t="str">
        <x:v>Basmati Rice 5kg</x:v>
      </x:c>
      <x:c r="C4" s="41" t="n">
        <x:v>2</x:v>
      </x:c>
      <x:c r="D4" s="41" t="n">
        <x:v>5.501860482107539</x:v>
      </x:c>
      <x:c r="E4" s="41" t="n">
        <x:v>5.501860482107539</x:v>
      </x:c>
      <x:c r="F4" s="41" t="n">
        <x:v>5.734094574072235</x:v>
      </x:c>
      <x:c r="G4" s="41" t="n">
        <x:v>754</x:v>
      </x:c>
      <x:c r="H4" s="41" t="n">
        <x:v>714.8333333333333</x:v>
      </x:c>
      <x:c r="I4" s="41" t="n">
        <x:v>45999</x:v>
      </x:c>
      <x:c r="J4" s="41" t="n">
        <x:v>50</x:v>
      </x:c>
      <x:c r="K4" s="41" t="n">
        <x:v>11.235955056179774</x:v>
      </x:c>
      <x:c r="L4" s="41" t="n">
        <x:v>792</x:v>
      </x:c>
      <x:c r="M4" s="41" t="n">
        <x:v>712</x:v>
      </x:c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1" t="str">
        <x:v>Electronics</x:v>
      </x:c>
      <x:c r="B5" s="41" t="str">
        <x:v>Power Bank 20000mAh</x:v>
      </x:c>
      <x:c r="C5" s="41" t="n">
        <x:v>2</x:v>
      </x:c>
      <x:c r="D5" s="41" t="n">
        <x:v>5.081488454450326</x:v>
      </x:c>
      <x:c r="E5" s="41" t="n">
        <x:v>5.081488454450326</x:v>
      </x:c>
      <x:c r="F5" s="41" t="n">
        <x:v>5.081488454450326</x:v>
      </x:c>
      <x:c r="G5" s="41" t="n">
        <x:v>1608</x:v>
      </x:c>
      <x:c r="H5" s="41" t="n">
        <x:v>1525</x:v>
      </x:c>
      <x:c r="I5" s="41" t="n">
        <x:v>45985</x:v>
      </x:c>
      <x:c r="J5" s="41" t="n">
        <x:v>50</x:v>
      </x:c>
      <x:c r="K5" s="41" t="n">
        <x:v>8.604282315622527</x:v>
      </x:c>
      <x:c r="L5" s="41" t="n">
        <x:v>1826</x:v>
      </x:c>
      <x:c r="M5" s="41" t="n">
        <x:v>1681.3333333333333</x:v>
      </x:c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1" t="str">
        <x:v>Beauty</x:v>
      </x:c>
      <x:c r="B6" s="41" t="str">
        <x:v>Hair Oil</x:v>
      </x:c>
      <x:c r="C6" s="41" t="n">
        <x:v>1</x:v>
      </x:c>
      <x:c r="D6" s="41" t="n">
        <x:v>5.022156573116695</x:v>
      </x:c>
      <x:c r="E6" s="41" t="n">
        <x:v>5.022156573116695</x:v>
      </x:c>
      <x:c r="F6" s="41" t="n">
        <x:v>5.022156573116695</x:v>
      </x:c>
      <x:c r="G6" s="41" t="n">
        <x:v>237</x:v>
      </x:c>
      <x:c r="H6" s="41" t="n">
        <x:v>225.66666666666666</x:v>
      </x:c>
      <x:c r="I6" s="41" t="n">
        <x:v>45957</x:v>
      </x:c>
      <x:c r="J6" s="41" t="n">
        <x:v>100</x:v>
      </x:c>
      <x:c r="K6" s="41" t="n">
        <x:v>5.022156573116695</x:v>
      </x:c>
      <x:c r="L6" s="41" t="n">
        <x:v>237</x:v>
      </x:c>
      <x:c r="M6" s="41" t="n">
        <x:v>225.66666666666666</x:v>
      </x:c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1" t="str">
        <x:v>Electronics</x:v>
      </x:c>
      <x:c r="B7" s="41" t="str">
        <x:v>Bluetooth Speaker</x:v>
      </x:c>
      <x:c r="C7" s="41" t="n">
        <x:v>3</x:v>
      </x:c>
      <x:c r="D7" s="41" t="n">
        <x:v>4.672119472978845</x:v>
      </x:c>
      <x:c r="E7" s="41" t="n">
        <x:v>-1.1477411477411479</x:v>
      </x:c>
      <x:c r="F7" s="41" t="n">
        <x:v>7.350292329819812</x:v>
      </x:c>
      <x:c r="G7" s="41" t="n">
        <x:v>4098</x:v>
      </x:c>
      <x:c r="H7" s="41" t="n">
        <x:v>3911.777777777778</x:v>
      </x:c>
      <x:c r="I7" s="41" t="n">
        <x:v>46048</x:v>
      </x:c>
      <x:c r="J7" s="41" t="n">
        <x:v>33.33333333333333</x:v>
      </x:c>
      <x:c r="K7" s="41" t="n">
        <x:v>-2.8695181375203034</x:v>
      </x:c>
      <x:c r="L7" s="41" t="n">
        <x:v>3588</x:v>
      </x:c>
      <x:c r="M7" s="41" t="n">
        <x:v>3694</x:v>
      </x:c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1" t="str">
        <x:v>Fashion</x:v>
      </x:c>
      <x:c r="B8" s="41" t="str">
        <x:v>Cotton Kurta</x:v>
      </x:c>
      <x:c r="C8" s="41" t="n">
        <x:v>5</x:v>
      </x:c>
      <x:c r="D8" s="41" t="n">
        <x:v>4.33655686234223</x:v>
      </x:c>
      <x:c r="E8" s="41" t="n">
        <x:v>3.51126446113254</x:v>
      </x:c>
      <x:c r="F8" s="41" t="n">
        <x:v>7.640032319167742</x:v>
      </x:c>
      <x:c r="G8" s="41" t="n">
        <x:v>1304.8</x:v>
      </x:c>
      <x:c r="H8" s="41" t="n">
        <x:v>1277.3333333333335</x:v>
      </x:c>
      <x:c r="I8" s="41" t="n">
        <x:v>46055</x:v>
      </x:c>
      <x:c r="J8" s="41" t="n">
        <x:v>80</x:v>
      </x:c>
      <x:c r="K8" s="41" t="n">
        <x:v>8.722741433021806</x:v>
      </x:c>
      <x:c r="L8" s="41" t="n">
        <x:v>1047</x:v>
      </x:c>
      <x:c r="M8" s="41" t="n">
        <x:v>963</x:v>
      </x:c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1" t="str">
        <x:v>Beauty</x:v>
      </x:c>
      <x:c r="B9" s="41" t="str">
        <x:v>Lipstick</x:v>
      </x:c>
      <x:c r="C9" s="41" t="n">
        <x:v>3</x:v>
      </x:c>
      <x:c r="D9" s="41" t="n">
        <x:v>3.937949511971068</x:v>
      </x:c>
      <x:c r="E9" s="41" t="n">
        <x:v>9.615384615384622</x:v>
      </x:c>
      <x:c r="F9" s="41" t="n">
        <x:v>9.767406876312151</x:v>
      </x:c>
      <x:c r="G9" s="41" t="n">
        <x:v>435.3333333333333</x:v>
      </x:c>
      <x:c r="H9" s="41" t="n">
        <x:v>415.1111111111111</x:v>
      </x:c>
      <x:c r="I9" s="41" t="n">
        <x:v>46020</x:v>
      </x:c>
      <x:c r="J9" s="41" t="n">
        <x:v>66.66666666666666</x:v>
      </x:c>
      <x:c r="K9" s="41" t="n">
        <x:v>10.942649967040206</x:v>
      </x:c>
      <x:c r="L9" s="41" t="n">
        <x:v>561</x:v>
      </x:c>
      <x:c r="M9" s="41" t="n">
        <x:v>505.6666666666667</x:v>
      </x:c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1" t="str">
        <x:v>Electronics</x:v>
      </x:c>
      <x:c r="B10" s="41" t="str">
        <x:v>Smartwatch</x:v>
      </x:c>
      <x:c r="C10" s="41" t="n">
        <x:v>4</x:v>
      </x:c>
      <x:c r="D10" s="41" t="n">
        <x:v>1.7602201037102976</x:v>
      </x:c>
      <x:c r="E10" s="41" t="n">
        <x:v>2.6227547689645583</x:v>
      </x:c>
      <x:c r="F10" s="41" t="n">
        <x:v>7.1619661074983325</x:v>
      </x:c>
      <x:c r="G10" s="41" t="n">
        <x:v>7410.5</x:v>
      </x:c>
      <x:c r="H10" s="41" t="n">
        <x:v>7289.416666666666</x:v>
      </x:c>
      <x:c r="I10" s="41" t="n">
        <x:v>46055</x:v>
      </x:c>
      <x:c r="J10" s="41" t="n">
        <x:v>50</x:v>
      </x:c>
      <x:c r="K10" s="41" t="n">
        <x:v>9.789156626506024</x:v>
      </x:c>
      <x:c r="L10" s="41" t="n">
        <x:v>10206</x:v>
      </x:c>
      <x:c r="M10" s="41" t="n">
        <x:v>9296</x:v>
      </x:c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1" t="str">
        <x:v>Beauty</x:v>
      </x:c>
      <x:c r="B11" s="41" t="str">
        <x:v>Sunscreen SPF 50</x:v>
      </x:c>
      <x:c r="C11" s="41" t="n">
        <x:v>3</x:v>
      </x:c>
      <x:c r="D11" s="41" t="n">
        <x:v>1.7436838529210614</x:v>
      </x:c>
      <x:c r="E11" s="41" t="n">
        <x:v>3.1588447653429657</x:v>
      </x:c>
      <x:c r="F11" s="41" t="n">
        <x:v>3.8942214873296614</x:v>
      </x:c>
      <x:c r="G11" s="41" t="n">
        <x:v>541</x:v>
      </x:c>
      <x:c r="H11" s="41" t="n">
        <x:v>532.4444444444445</x:v>
      </x:c>
      <x:c r="I11" s="41" t="n">
        <x:v>46062</x:v>
      </x:c>
      <x:c r="J11" s="41" t="n">
        <x:v>66.66666666666666</x:v>
      </x:c>
      <x:c r="K11" s="41" t="n">
        <x:v>-3.2258064516128995</x:v>
      </x:c>
      <x:c r="L11" s="41" t="n">
        <x:v>490</x:v>
      </x:c>
      <x:c r="M11" s="41" t="n">
        <x:v>506.3333333333333</x:v>
      </x:c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1" t="str">
        <x:v>Grocery</x:v>
      </x:c>
      <x:c r="B12" s="41" t="str">
        <x:v>Dry Fruits Mix 500g</x:v>
      </x:c>
      <x:c r="C12" s="41" t="n">
        <x:v>2</x:v>
      </x:c>
      <x:c r="D12" s="41" t="n">
        <x:v>1.4298206351321765</x:v>
      </x:c>
      <x:c r="E12" s="41" t="n">
        <x:v>1.4298206351321765</x:v>
      </x:c>
      <x:c r="F12" s="41" t="n">
        <x:v>1.4298206351321765</x:v>
      </x:c>
      <x:c r="G12" s="41" t="n">
        <x:v>746</x:v>
      </x:c>
      <x:c r="H12" s="41" t="n">
        <x:v>736.1666666666667</x:v>
      </x:c>
      <x:c r="I12" s="41" t="n">
        <x:v>46069</x:v>
      </x:c>
      <x:c r="J12" s="41" t="n">
        <x:v>50</x:v>
      </x:c>
      <x:c r="K12" s="41" t="n">
        <x:v>0.7895775759968372</x:v>
      </x:c>
      <x:c r="L12" s="41" t="n">
        <x:v>851</x:v>
      </x:c>
      <x:c r="M12" s="41" t="n">
        <x:v>844.3333333333334</x:v>
      </x:c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1" t="str">
        <x:v>Home &amp; Kitchen</x:v>
      </x:c>
      <x:c r="B13" s="41" t="str">
        <x:v>Steel Water Bottle</x:v>
      </x:c>
      <x:c r="C13" s="41" t="n">
        <x:v>6</x:v>
      </x:c>
      <x:c r="D13" s="41" t="n">
        <x:v>0.3174846037982899</x:v>
      </x:c>
      <x:c r="E13" s="41" t="n">
        <x:v>0.10199113967187623</x:v>
      </x:c>
      <x:c r="F13" s="41" t="n">
        <x:v>9.174308770590756</x:v>
      </x:c>
      <x:c r="G13" s="41" t="n">
        <x:v>621.6666666666666</x:v>
      </x:c>
      <x:c r="H13" s="41" t="n">
        <x:v>622.2777777777778</x:v>
      </x:c>
      <x:c r="I13" s="41" t="n">
        <x:v>46055</x:v>
      </x:c>
      <x:c r="J13" s="41" t="n">
        <x:v>33.33333333333333</x:v>
      </x:c>
      <x:c r="K13" s="41" t="n">
        <x:v>9.297153024911028</x:v>
      </x:c>
      <x:c r="L13" s="41" t="n">
        <x:v>819</x:v>
      </x:c>
      <x:c r="M13" s="41" t="n">
        <x:v>749.3333333333334</x:v>
      </x:c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5" hidden="0" customHeight="1">
      <x:c r="A14" s="41" t="str">
        <x:v>Home &amp; Kitchen</x:v>
      </x:c>
      <x:c r="B14" s="41" t="str">
        <x:v>Air Fryer</x:v>
      </x:c>
      <x:c r="C14" s="41" t="n">
        <x:v>3</x:v>
      </x:c>
      <x:c r="D14" s="41" t="n">
        <x:v>0.2540439028828625</x:v>
      </x:c>
      <x:c r="E14" s="41" t="n">
        <x:v>-2.454242928452579</x:v>
      </x:c>
      <x:c r="F14" s="41" t="n">
        <x:v>7.044074732141607</x:v>
      </x:c>
      <x:c r="G14" s="41" t="n">
        <x:v>5301.333333333333</x:v>
      </x:c>
      <x:c r="H14" s="41" t="n">
        <x:v>5330.666666666667</x:v>
      </x:c>
      <x:c r="I14" s="41" t="n">
        <x:v>46027</x:v>
      </x:c>
      <x:c r="J14" s="41" t="n">
        <x:v>33.33333333333333</x:v>
      </x:c>
      <x:c r="K14" s="41" t="n">
        <x:v>-2.454242928452579</x:v>
      </x:c>
      <x:c r="L14" s="41" t="n">
        <x:v>4690</x:v>
      </x:c>
      <x:c r="M14" s="41" t="n">
        <x:v>4808</x:v>
      </x:c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5" hidden="0" customHeight="1">
      <x:c r="A15" s="41" t="str">
        <x:v>Home &amp; Kitchen</x:v>
      </x:c>
      <x:c r="B15" s="41" t="str">
        <x:v>Non-stick Cookware Set</x:v>
      </x:c>
      <x:c r="C15" s="41" t="n">
        <x:v>4</x:v>
      </x:c>
      <x:c r="D15" s="41" t="n">
        <x:v>0.21852042382366355</x:v>
      </x:c>
      <x:c r="E15" s="41" t="n">
        <x:v>-1.3596036511475411</x:v>
      </x:c>
      <x:c r="F15" s="41" t="n">
        <x:v>10.116551643759106</x:v>
      </x:c>
      <x:c r="G15" s="41" t="n">
        <x:v>2605.5</x:v>
      </x:c>
      <x:c r="H15" s="41" t="n">
        <x:v>2600.833333333333</x:v>
      </x:c>
      <x:c r="I15" s="41" t="n">
        <x:v>46027</x:v>
      </x:c>
      <x:c r="J15" s="41" t="n">
        <x:v>50</x:v>
      </x:c>
      <x:c r="K15" s="41" t="n">
        <x:v>-15.651598259882727</x:v>
      </x:c>
      <x:c r="L15" s="41" t="n">
        <x:v>2973</x:v>
      </x:c>
      <x:c r="M15" s="41" t="n">
        <x:v>3524.6666666666665</x:v>
      </x:c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5" hidden="0" customHeight="1">
      <x:c r="A16" s="41" t="str">
        <x:v>Beauty</x:v>
      </x:c>
      <x:c r="B16" s="41" t="str">
        <x:v>Beard Trimmer</x:v>
      </x:c>
      <x:c r="C16" s="41" t="n">
        <x:v>11</x:v>
      </x:c>
      <x:c r="D16" s="41" t="n">
        <x:v>-0.2799882467188803</x:v>
      </x:c>
      <x:c r="E16" s="41" t="n">
        <x:v>0.5911694069831929</x:v>
      </x:c>
      <x:c r="F16" s="41" t="n">
        <x:v>8.15866736687029</x:v>
      </x:c>
      <x:c r="G16" s="41" t="n">
        <x:v>1762.5454545454545</x:v>
      </x:c>
      <x:c r="H16" s="41" t="n">
        <x:v>1752.3030303030303</x:v>
      </x:c>
      <x:c r="I16" s="41" t="n">
        <x:v>46069</x:v>
      </x:c>
      <x:c r="J16" s="41" t="n">
        <x:v>72.72727272727273</x:v>
      </x:c>
      <x:c r="K16" s="41" t="n">
        <x:v>-12.953034527128453</x:v>
      </x:c>
      <x:c r="L16" s="41" t="n">
        <x:v>1353</x:v>
      </x:c>
      <x:c r="M16" s="41" t="n">
        <x:v>1554.3333333333333</x:v>
      </x:c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15" hidden="0" customHeight="1">
      <x:c r="A17" s="41" t="str">
        <x:v>Home &amp; Kitchen</x:v>
      </x:c>
      <x:c r="B17" s="41" t="str">
        <x:v>Pressure Cooker 5L</x:v>
      </x:c>
      <x:c r="C17" s="41" t="n">
        <x:v>5</x:v>
      </x:c>
      <x:c r="D17" s="41" t="n">
        <x:v>-0.3625596663639136</x:v>
      </x:c>
      <x:c r="E17" s="41" t="n">
        <x:v>1.5477386934673412</x:v>
      </x:c>
      <x:c r="F17" s="41" t="n">
        <x:v>6.8501595842804</x:v>
      </x:c>
      <x:c r="G17" s="41" t="n">
        <x:v>1975.8</x:v>
      </x:c>
      <x:c r="H17" s="41" t="n">
        <x:v>1970.1333333333332</x:v>
      </x:c>
      <x:c r="I17" s="41" t="n">
        <x:v>46069</x:v>
      </x:c>
      <x:c r="J17" s="41" t="n">
        <x:v>80</x:v>
      </x:c>
      <x:c r="K17" s="41" t="n">
        <x:v>-16.081684747925973</x:v>
      </x:c>
      <x:c r="L17" s="41" t="n">
        <x:v>1315</x:v>
      </x:c>
      <x:c r="M17" s="41" t="n">
        <x:v>1567</x:v>
      </x:c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15" hidden="0" customHeight="1">
      <x:c r="A18" s="41" t="str">
        <x:v>Fashion</x:v>
      </x:c>
      <x:c r="B18" s="41" t="str">
        <x:v>Saree</x:v>
      </x:c>
      <x:c r="C18" s="41" t="n">
        <x:v>3</x:v>
      </x:c>
      <x:c r="D18" s="41" t="n">
        <x:v>-2.1024623309542356</x:v>
      </x:c>
      <x:c r="E18" s="41" t="n">
        <x:v>-3.9756592292089206</x:v>
      </x:c>
      <x:c r="F18" s="41" t="n">
        <x:v>7.511267362400776</x:v>
      </x:c>
      <x:c r="G18" s="41" t="n">
        <x:v>1538.6666666666667</x:v>
      </x:c>
      <x:c r="H18" s="41" t="n">
        <x:v>1605.3333333333333</x:v>
      </x:c>
      <x:c r="I18" s="41" t="n">
        <x:v>45978</x:v>
      </x:c>
      <x:c r="J18" s="41" t="n">
        <x:v>66.66666666666666</x:v>
      </x:c>
      <x:c r="K18" s="41" t="n">
        <x:v>-10.444935310823597</x:v>
      </x:c>
      <x:c r="L18" s="41" t="n">
        <x:v>1892</x:v>
      </x:c>
      <x:c r="M18" s="41" t="n">
        <x:v>2112.6666666666665</x:v>
      </x:c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15" hidden="0" customHeight="1">
      <x:c r="A19" s="41" t="str">
        <x:v>Grocery</x:v>
      </x:c>
      <x:c r="B19" s="41" t="str">
        <x:v>Cold-pressed Oil 1L</x:v>
      </x:c>
      <x:c r="C19" s="41" t="n">
        <x:v>10</x:v>
      </x:c>
      <x:c r="D19" s="41" t="n">
        <x:v>-2.4226491591249806</x:v>
      </x:c>
      <x:c r="E19" s="41" t="n">
        <x:v>0.04345009985427262</x:v>
      </x:c>
      <x:c r="F19" s="41" t="n">
        <x:v>5.7725165418294235</x:v>
      </x:c>
      <x:c r="G19" s="41" t="n">
        <x:v>365.3</x:v>
      </x:c>
      <x:c r="H19" s="41" t="n">
        <x:v>375.2</x:v>
      </x:c>
      <x:c r="I19" s="41" t="n">
        <x:v>46069</x:v>
      </x:c>
      <x:c r="J19" s="41" t="n">
        <x:v>60</x:v>
      </x:c>
      <x:c r="K19" s="41" t="n">
        <x:v>-4.382470119521908</x:v>
      </x:c>
      <x:c r="L19" s="41" t="n">
        <x:v>400</x:v>
      </x:c>
      <x:c r="M19" s="41" t="n">
        <x:v>418.3333333333333</x:v>
      </x:c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15" hidden="0" customHeight="1">
      <x:c r="A20" s="41" t="str">
        <x:v>Grocery</x:v>
      </x:c>
      <x:c r="B20" s="41" t="str">
        <x:v>Organic Jaggery 1kg</x:v>
      </x:c>
      <x:c r="C20" s="41" t="n">
        <x:v>7</x:v>
      </x:c>
      <x:c r="D20" s="41" t="n">
        <x:v>-3.040906968029551</x:v>
      </x:c>
      <x:c r="E20" s="41" t="n">
        <x:v>-5.978260869565218</x:v>
      </x:c>
      <x:c r="F20" s="41" t="n">
        <x:v>8.052217007292441</x:v>
      </x:c>
      <x:c r="G20" s="41" t="n">
        <x:v>162.85714285714286</x:v>
      </x:c>
      <x:c r="H20" s="41" t="n">
        <x:v>167.23809523809524</x:v>
      </x:c>
      <x:c r="I20" s="41" t="n">
        <x:v>46062</x:v>
      </x:c>
      <x:c r="J20" s="41" t="n">
        <x:v>42.857142857142854</x:v>
      </x:c>
      <x:c r="K20" s="41" t="n">
        <x:v>4.038004750593817</x:v>
      </x:c>
      <x:c r="L20" s="41" t="n">
        <x:v>146</x:v>
      </x:c>
      <x:c r="M20" s="41" t="n">
        <x:v>140.33333333333334</x:v>
      </x:c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15" hidden="0" customHeight="1">
      <x:c r="A21" s="41" t="str">
        <x:v>Electronics</x:v>
      </x:c>
      <x:c r="B21" s="41" t="str">
        <x:v>Wireless Earbuds</x:v>
      </x:c>
      <x:c r="C21" s="41" t="n">
        <x:v>2</x:v>
      </x:c>
      <x:c r="D21" s="41" t="n">
        <x:v>-3.705387939922578</x:v>
      </x:c>
      <x:c r="E21" s="41" t="n">
        <x:v>-3.705387939922578</x:v>
      </x:c>
      <x:c r="F21" s="41" t="n">
        <x:v>5.690230956883968</x:v>
      </x:c>
      <x:c r="G21" s="41" t="n">
        <x:v>3600.5</x:v>
      </x:c>
      <x:c r="H21" s="41" t="n">
        <x:v>3741.833333333333</x:v>
      </x:c>
      <x:c r="I21" s="41" t="n">
        <x:v>46048</x:v>
      </x:c>
      <x:c r="J21" s="41" t="n">
        <x:v>50</x:v>
      </x:c>
      <x:c r="K21" s="41" t="n">
        <x:v>-9.395618896806546</x:v>
      </x:c>
      <x:c r="L21" s="41" t="n">
        <x:v>3433</x:v>
      </x:c>
      <x:c r="M21" s="41" t="n">
        <x:v>3789</x:v>
      </x:c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15" hidden="0" customHeight="1">
      <x:c r="A22" s="41" t="str">
        <x:v>Grocery</x:v>
      </x:c>
      <x:c r="B22" s="41" t="str">
        <x:v>Green Tea 100 bags</x:v>
      </x:c>
      <x:c r="C22" s="41" t="n">
        <x:v>8</x:v>
      </x:c>
      <x:c r="D22" s="41" t="n">
        <x:v>-4.326616254611496</x:v>
      </x:c>
      <x:c r="E22" s="41" t="n">
        <x:v>-8.362734947435486</x:v>
      </x:c>
      <x:c r="F22" s="41" t="n">
        <x:v>10.145223908378432</x:v>
      </x:c>
      <x:c r="G22" s="41" t="n">
        <x:v>315.25</x:v>
      </x:c>
      <x:c r="H22" s="41" t="n">
        <x:v>332.75</x:v>
      </x:c>
      <x:c r="I22" s="41" t="n">
        <x:v>46062</x:v>
      </x:c>
      <x:c r="J22" s="41" t="n">
        <x:v>75</x:v>
      </x:c>
      <x:c r="K22" s="41" t="n">
        <x:v>-13.22067594433399</x:v>
      </x:c>
      <x:c r="L22" s="41" t="n">
        <x:v>291</x:v>
      </x:c>
      <x:c r="M22" s="41" t="n">
        <x:v>335.3333333333333</x:v>
      </x:c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 ht="15" hidden="0" customHeight="1">
      <x:c r="A23" s="41" t="str">
        <x:v>Electronics</x:v>
      </x:c>
      <x:c r="B23" s="41" t="str">
        <x:v>USB-C Charger 65W</x:v>
      </x:c>
      <x:c r="C23" s="41" t="n">
        <x:v>4</x:v>
      </x:c>
      <x:c r="D23" s="41" t="n">
        <x:v>-7.49014695271244</x:v>
      </x:c>
      <x:c r="E23" s="41" t="n">
        <x:v>-8.445637860458259</x:v>
      </x:c>
      <x:c r="F23" s="41" t="n">
        <x:v>7.49014695271244</x:v>
      </x:c>
      <x:c r="G23" s="41" t="n">
        <x:v>1486.75</x:v>
      </x:c>
      <x:c r="H23" s="41" t="n">
        <x:v>1602.0833333333333</x:v>
      </x:c>
      <x:c r="I23" s="41" t="n">
        <x:v>46069</x:v>
      </x:c>
      <x:c r="J23" s="41" t="n">
        <x:v>25</x:v>
      </x:c>
      <x:c r="K23" s="41" t="n">
        <x:v>-9.40560236848099</x:v>
      </x:c>
      <x:c r="L23" s="41" t="n">
        <x:v>1326</x:v>
      </x:c>
      <x:c r="M23" s="41" t="n">
        <x:v>1463.6666666666667</x:v>
      </x:c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15" hidden="0" customHeight="1">
      <x:c r="A24" s="41" t="str">
        <x:v>Home &amp; Kitchen</x:v>
      </x:c>
      <x:c r="B24" s="41" t="str">
        <x:v>Mixer Grinder</x:v>
      </x:c>
      <x:c r="C24" s="41" t="n">
        <x:v>2</x:v>
      </x:c>
      <x:c r="D24" s="41" t="n">
        <x:v>-9.8855473068115</x:v>
      </x:c>
      <x:c r="E24" s="41" t="n">
        <x:v>-9.8855473068115</x:v>
      </x:c>
      <x:c r="F24" s="41" t="n">
        <x:v>9.8855473068115</x:v>
      </x:c>
      <x:c r="G24" s="41" t="n">
        <x:v>3451.5</x:v>
      </x:c>
      <x:c r="H24" s="41" t="n">
        <x:v>3842.166666666667</x:v>
      </x:c>
      <x:c r="I24" s="41" t="n">
        <x:v>46055</x:v>
      </x:c>
      <x:c r="J24" s="41" t="n">
        <x:v>100</x:v>
      </x:c>
      <x:c r="K24" s="41" t="n">
        <x:v>-10.749313456257356</x:v>
      </x:c>
      <x:c r="L24" s="41" t="n">
        <x:v>4550</x:v>
      </x:c>
      <x:c r="M24" s="41" t="n">
        <x:v>5098</x:v>
      </x:c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15" hidden="0" customHeight="1">
      <x:c r="A25" s="41" t="str">
        <x:v>Beauty</x:v>
      </x:c>
      <x:c r="B25" s="41" t="str">
        <x:v>Face Serum</x:v>
      </x:c>
      <x:c r="C25" s="41" t="n">
        <x:v>3</x:v>
      </x:c>
      <x:c r="D25" s="41" t="n">
        <x:v>-10.04823166561013</x:v>
      </x:c>
      <x:c r="E25" s="41" t="n">
        <x:v>-12.988384371700107</x:v>
      </x:c>
      <x:c r="F25" s="41" t="n">
        <x:v>10.04823166561013</x:v>
      </x:c>
      <x:c r="G25" s="41" t="n">
        <x:v>687</x:v>
      </x:c>
      <x:c r="H25" s="41" t="n">
        <x:v>773.888888888889</x:v>
      </x:c>
      <x:c r="I25" s="41" t="n">
        <x:v>46062</x:v>
      </x:c>
      <x:c r="J25" s="41" t="n">
        <x:v>33.33333333333333</x:v>
      </x:c>
      <x:c r="K25" s="41" t="n">
        <x:v>-14.385692068429243</x:v>
      </x:c>
      <x:c r="L25" s="41" t="n">
        <x:v>734</x:v>
      </x:c>
      <x:c r="M25" s="41" t="n">
        <x:v>857.3333333333334</x:v>
      </x:c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5" hidden="0" customHeight="1">
      <x:c r="A26" s="41" t="str">
        <x:v>Fashion</x:v>
      </x:c>
      <x:c r="B26" s="41" t="str">
        <x:v>Denim Jeans</x:v>
      </x:c>
      <x:c r="C26" s="41" t="n">
        <x:v>2</x:v>
      </x:c>
      <x:c r="D26" s="41" t="n">
        <x:v>-11.15255548582734</x:v>
      </x:c>
      <x:c r="E26" s="41" t="n">
        <x:v>-11.15255548582734</x:v>
      </x:c>
      <x:c r="F26" s="41" t="n">
        <x:v>11.15255548582734</x:v>
      </x:c>
      <x:c r="G26" s="41" t="n">
        <x:v>1666.5</x:v>
      </x:c>
      <x:c r="H26" s="41" t="n">
        <x:v>1879</x:v>
      </x:c>
      <x:c r="I26" s="41" t="n">
        <x:v>46006</x:v>
      </x:c>
      <x:c r="J26" s="41" t="n">
        <x:v>100</x:v>
      </x:c>
      <x:c r="K26" s="41" t="n">
        <x:v>-15.259740259740262</x:v>
      </x:c>
      <x:c r="L26" s="41" t="n">
        <x:v>1653</x:v>
      </x:c>
      <x:c r="M26" s="41" t="n">
        <x:v>1950.6666666666667</x:v>
      </x:c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15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15" hidden="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 ht="15" hidden="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 ht="15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 ht="15" hidden="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 ht="15" hidden="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 ht="15" hidden="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 ht="15" hidden="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 ht="15" hidden="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 ht="15" hidden="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 ht="15" hidden="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 ht="15" hidden="0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 ht="15" hidden="0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 ht="15" hidden="0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 ht="15" hidden="0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 ht="15" hidden="0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 ht="15" hidden="0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 ht="15" hidden="0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 ht="15" hidden="0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 ht="15" hidden="0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 ht="15" hidden="0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 ht="15" hidden="0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 ht="15" hidden="0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 ht="15" hidden="0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 ht="15" hidden="0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 ht="15" hidden="0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 ht="15" hidden="0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 ht="15" hidden="0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 ht="15" hidden="0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 ht="15" hidden="0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 ht="15" hidden="0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 ht="15" hidden="0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0.880000114440918" hidden="0" customWidth="1"/>
    <x:col min="3" max="3" width="10.880000114440918" hidden="0" customWidth="1"/>
    <x:col min="4" max="4" width="13.75" hidden="0" customWidth="1"/>
    <x:col min="5" max="5" width="14.5" hidden="0" customWidth="1"/>
    <x:col min="6" max="6" width="9.130000114440918" hidden="0" customWidth="1"/>
    <x:col min="7" max="7" width="10.25" hidden="0" customWidth="1"/>
  </x:cols>
  <x:sheetData>
    <x:row r="1" ht="15" hidden="0" customHeight="1">
      <x:c r="A1" s="47" t="str">
        <x:v>week_start</x:v>
      </x:c>
      <x:c r="B1" s="47" t="str">
        <x:v>observations</x:v>
      </x:c>
      <x:c r="C1" s="47" t="str">
        <x:v>avg_gap_pct</x:v>
      </x:c>
      <x:c r="D1" s="47" t="str">
        <x:v>median_gap_pct</x:v>
      </x:c>
      <x:c r="E1" s="47" t="str">
        <x:v>avg_abs_gap_pct</x:v>
      </x:c>
      <x:c r="F1" s="47" t="str">
        <x:v>overpriced</x:v>
      </x:c>
      <x:c r="G1" s="47" t="str">
        <x:v>underpriced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41" t="n">
        <x:v>45936</x:v>
      </x:c>
      <x:c r="B2" s="41" t="n">
        <x:v>3</x:v>
      </x:c>
      <x:c r="C2" s="41" t="n">
        <x:v>-7.708910513915018</x:v>
      </x:c>
      <x:c r="D2" s="41" t="n">
        <x:v>-4.144464179988159</x:v>
      </x:c>
      <x:c r="E2" s="41" t="n">
        <x:v>7.708910513915016</x:v>
      </x:c>
      <x:c r="F2" s="41" t="n">
        <x:v>0</x:v>
      </x:c>
      <x:c r="G2" s="41" t="n">
        <x:v>3</x:v>
      </x:c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5" hidden="0" customHeight="1">
      <x:c r="A3" s="41" t="n">
        <x:v>45943</x:v>
      </x:c>
      <x:c r="B3" s="41" t="n">
        <x:v>8</x:v>
      </x:c>
      <x:c r="C3" s="41" t="n">
        <x:v>0.6378479542728829</x:v>
      </x:c>
      <x:c r="D3" s="41" t="n">
        <x:v>1.8143791437728198</x:v>
      </x:c>
      <x:c r="E3" s="41" t="n">
        <x:v>5.059028807825301</x:v>
      </x:c>
      <x:c r="F3" s="41" t="n">
        <x:v>5</x:v>
      </x:c>
      <x:c r="G3" s="41" t="n">
        <x:v>3</x:v>
      </x:c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1" t="n">
        <x:v>45950</x:v>
      </x:c>
      <x:c r="B4" s="41" t="n">
        <x:v>5</x:v>
      </x:c>
      <x:c r="C4" s="41" t="n">
        <x:v>-2.1884069974122564</x:v>
      </x:c>
      <x:c r="D4" s="41" t="n">
        <x:v>-6.706586826347305</x:v>
      </x:c>
      <x:c r="E4" s="41" t="n">
        <x:v>8.103464912470171</x:v>
      </x:c>
      <x:c r="F4" s="41" t="n">
        <x:v>1</x:v>
      </x:c>
      <x:c r="G4" s="41" t="n">
        <x:v>4</x:v>
      </x:c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1" t="n">
        <x:v>45957</x:v>
      </x:c>
      <x:c r="B5" s="41" t="n">
        <x:v>3</x:v>
      </x:c>
      <x:c r="C5" s="41" t="n">
        <x:v>0.672956357253122</x:v>
      </x:c>
      <x:c r="D5" s="41" t="n">
        <x:v>5.022156573116695</x:v>
      </x:c>
      <x:c r="E5" s="41" t="n">
        <x:v>9.331879271719862</x:v>
      </x:c>
      <x:c r="F5" s="41" t="n">
        <x:v>2</x:v>
      </x:c>
      <x:c r="G5" s="41" t="n">
        <x:v>1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1" t="n">
        <x:v>45964</x:v>
      </x:c>
      <x:c r="B6" s="41" t="n">
        <x:v>2</x:v>
      </x:c>
      <x:c r="C6" s="41" t="n">
        <x:v>4.451767554017865</x:v>
      </x:c>
      <x:c r="D6" s="41" t="n">
        <x:v>4.451767554017865</x:v>
      </x:c>
      <x:c r="E6" s="41" t="n">
        <x:v>4.451767554017865</x:v>
      </x:c>
      <x:c r="F6" s="41" t="n">
        <x:v>2</x:v>
      </x:c>
      <x:c r="G6" s="41" t="n">
        <x:v>0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1" t="n">
        <x:v>45971</x:v>
      </x:c>
      <x:c r="B7" s="41" t="n">
        <x:v>4</x:v>
      </x:c>
      <x:c r="C7" s="41" t="n">
        <x:v>-3.8505195144140076</x:v>
      </x:c>
      <x:c r="D7" s="41" t="n">
        <x:v>-3.726018321138443</x:v>
      </x:c>
      <x:c r="E7" s="41" t="n">
        <x:v>5.633550967031217</x:v>
      </x:c>
      <x:c r="F7" s="41" t="n">
        <x:v>2</x:v>
      </x:c>
      <x:c r="G7" s="41" t="n">
        <x:v>2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1" t="n">
        <x:v>45978</x:v>
      </x:c>
      <x:c r="B8" s="41" t="n">
        <x:v>7</x:v>
      </x:c>
      <x:c r="C8" s="41" t="n">
        <x:v>-4.223069648465745</x:v>
      </x:c>
      <x:c r="D8" s="41" t="n">
        <x:v>-8.744186046511624</x:v>
      </x:c>
      <x:c r="E8" s="41" t="n">
        <x:v>9.375531849665169</x:v>
      </x:c>
      <x:c r="F8" s="41" t="n">
        <x:v>1</x:v>
      </x:c>
      <x:c r="G8" s="41" t="n">
        <x:v>6</x:v>
      </x:c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1" t="n">
        <x:v>45985</x:v>
      </x:c>
      <x:c r="B9" s="41" t="n">
        <x:v>3</x:v>
      </x:c>
      <x:c r="C9" s="41" t="n">
        <x:v>3.96133422151062</x:v>
      </x:c>
      <x:c r="D9" s="41" t="n">
        <x:v>8.604282315622527</x:v>
      </x:c>
      <x:c r="E9" s="41" t="n">
        <x:v>14.604778827219372</x:v>
      </x:c>
      <x:c r="F9" s="41" t="n">
        <x:v>2</x:v>
      </x:c>
      <x:c r="G9" s="41" t="n">
        <x:v>1</x:v>
      </x:c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1" t="n">
        <x:v>45992</x:v>
      </x:c>
      <x:c r="B10" s="41" t="n">
        <x:v>3</x:v>
      </x:c>
      <x:c r="C10" s="41" t="n">
        <x:v>5.8373349346087435</x:v>
      </x:c>
      <x:c r="D10" s="41" t="n">
        <x:v>6.061320754716987</x:v>
      </x:c>
      <x:c r="E10" s="41" t="n">
        <x:v>6.602495699769509</x:v>
      </x:c>
      <x:c r="F10" s="41" t="n">
        <x:v>2</x:v>
      </x:c>
      <x:c r="G10" s="41" t="n">
        <x:v>1</x:v>
      </x:c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1" t="n">
        <x:v>45999</x:v>
      </x:c>
      <x:c r="B11" s="41" t="n">
        <x:v>9</x:v>
      </x:c>
      <x:c r="C11" s="41" t="n">
        <x:v>2.154636667566384</x:v>
      </x:c>
      <x:c r="D11" s="41" t="n">
        <x:v>3.51126446113254</x:v>
      </x:c>
      <x:c r="E11" s="41" t="n">
        <x:v>7.580065835119099</x:v>
      </x:c>
      <x:c r="F11" s="41" t="n">
        <x:v>6</x:v>
      </x:c>
      <x:c r="G11" s="41" t="n">
        <x:v>3</x:v>
      </x:c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1" t="n">
        <x:v>46006</x:v>
      </x:c>
      <x:c r="B12" s="41" t="n">
        <x:v>8</x:v>
      </x:c>
      <x:c r="C12" s="41" t="n">
        <x:v>0.7095103026252245</x:v>
      </x:c>
      <x:c r="D12" s="41" t="n">
        <x:v>2.405287244476053</x:v>
      </x:c>
      <x:c r="E12" s="41" t="n">
        <x:v>9.630557375423052</x:v>
      </x:c>
      <x:c r="F12" s="41" t="n">
        <x:v>5</x:v>
      </x:c>
      <x:c r="G12" s="41" t="n">
        <x:v>3</x:v>
      </x:c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1" t="n">
        <x:v>46020</x:v>
      </x:c>
      <x:c r="B13" s="41" t="n">
        <x:v>6</x:v>
      </x:c>
      <x:c r="C13" s="41" t="n">
        <x:v>1.301012496503877</x:v>
      </x:c>
      <x:c r="D13" s="41" t="n">
        <x:v>3.337664140913244</x:v>
      </x:c>
      <x:c r="E13" s="41" t="n">
        <x:v>8.061755169131791</x:v>
      </x:c>
      <x:c r="F13" s="41" t="n">
        <x:v>4</x:v>
      </x:c>
      <x:c r="G13" s="41" t="n">
        <x:v>2</x:v>
      </x:c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5" hidden="0" customHeight="1">
      <x:c r="A14" s="41" t="n">
        <x:v>46027</x:v>
      </x:c>
      <x:c r="B14" s="41" t="n">
        <x:v>5</x:v>
      </x:c>
      <x:c r="C14" s="41" t="n">
        <x:v>-1.3308551911796702</x:v>
      </x:c>
      <x:c r="D14" s="41" t="n">
        <x:v>-1.9501133786848073</x:v>
      </x:c>
      <x:c r="E14" s="41" t="n">
        <x:v>6.691526635628375</x:v>
      </x:c>
      <x:c r="F14" s="41" t="n">
        <x:v>2</x:v>
      </x:c>
      <x:c r="G14" s="41" t="n">
        <x:v>3</x:v>
      </x:c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5" hidden="0" customHeight="1">
      <x:c r="A15" s="41" t="n">
        <x:v>46034</x:v>
      </x:c>
      <x:c r="B15" s="41" t="n">
        <x:v>4</x:v>
      </x:c>
      <x:c r="C15" s="41" t="n">
        <x:v>0.8426901753377838</x:v>
      </x:c>
      <x:c r="D15" s="41" t="n">
        <x:v>2.307696868718618</x:v>
      </x:c>
      <x:c r="E15" s="41" t="n">
        <x:v>7.354274336857673</x:v>
      </x:c>
      <x:c r="F15" s="41" t="n">
        <x:v>2</x:v>
      </x:c>
      <x:c r="G15" s="41" t="n">
        <x:v>2</x:v>
      </x:c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5" hidden="0" customHeight="1">
      <x:c r="A16" s="41" t="n">
        <x:v>46041</x:v>
      </x:c>
      <x:c r="B16" s="41" t="n">
        <x:v>6</x:v>
      </x:c>
      <x:c r="C16" s="41" t="n">
        <x:v>0.020115313073057806</x:v>
      </x:c>
      <x:c r="D16" s="41" t="n">
        <x:v>3.092889685122474</x:v>
      </x:c>
      <x:c r="E16" s="41" t="n">
        <x:v>7.986754958240465</x:v>
      </x:c>
      <x:c r="F16" s="41" t="n">
        <x:v>4</x:v>
      </x:c>
      <x:c r="G16" s="41" t="n">
        <x:v>2</x:v>
      </x:c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15" hidden="0" customHeight="1">
      <x:c r="A17" s="41" t="n">
        <x:v>46048</x:v>
      </x:c>
      <x:c r="B17" s="41" t="n">
        <x:v>3</x:v>
      </x:c>
      <x:c r="C17" s="41" t="n">
        <x:v>-5.02494776410299</x:v>
      </x:c>
      <x:c r="D17" s="41" t="n">
        <x:v>-2.8695181375203034</x:v>
      </x:c>
      <x:c r="E17" s="41" t="n">
        <x:v>5.02494776410299</x:v>
      </x:c>
      <x:c r="F17" s="41" t="n">
        <x:v>0</x:v>
      </x:c>
      <x:c r="G17" s="41" t="n">
        <x:v>3</x:v>
      </x:c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15" hidden="0" customHeight="1">
      <x:c r="A18" s="41" t="n">
        <x:v>46055</x:v>
      </x:c>
      <x:c r="B18" s="41" t="n">
        <x:v>5</x:v>
      </x:c>
      <x:c r="C18" s="41" t="n">
        <x:v>6.503966714471886</x:v>
      </x:c>
      <x:c r="D18" s="41" t="n">
        <x:v>9.297153024911028</x:v>
      </x:c>
      <x:c r="E18" s="41" t="n">
        <x:v>10.803692096974828</x:v>
      </x:c>
      <x:c r="F18" s="41" t="n">
        <x:v>4</x:v>
      </x:c>
      <x:c r="G18" s="41" t="n">
        <x:v>1</x:v>
      </x:c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15" hidden="0" customHeight="1">
      <x:c r="A19" s="41" t="n">
        <x:v>46062</x:v>
      </x:c>
      <x:c r="B19" s="41" t="n">
        <x:v>6</x:v>
      </x:c>
      <x:c r="C19" s="41" t="n">
        <x:v>-4.413947738789676</x:v>
      </x:c>
      <x:c r="D19" s="41" t="n">
        <x:v>-3.550172598500177</x:v>
      </x:c>
      <x:c r="E19" s="41" t="n">
        <x:v>7.154956664464852</x:v>
      </x:c>
      <x:c r="F19" s="41" t="n">
        <x:v>2</x:v>
      </x:c>
      <x:c r="G19" s="41" t="n">
        <x:v>4</x:v>
      </x:c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15" hidden="0" customHeight="1">
      <x:c r="A20" s="41" t="n">
        <x:v>46069</x:v>
      </x:c>
      <x:c r="B20" s="41" t="n">
        <x:v>10</x:v>
      </x:c>
      <x:c r="C20" s="41" t="n">
        <x:v>-5.355596738652046</x:v>
      </x:c>
      <x:c r="D20" s="41" t="n">
        <x:v>-5.352376154595184</x:v>
      </x:c>
      <x:c r="E20" s="41" t="n">
        <x:v>7.212924600699514</x:v>
      </x:c>
      <x:c r="F20" s="41" t="n">
        <x:v>3</x:v>
      </x:c>
      <x:c r="G20" s="41" t="n">
        <x:v>7</x:v>
      </x:c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 ht="15" hidden="0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15" hidden="0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15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5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15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15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15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15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15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15" hidden="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 ht="15" hidden="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 ht="15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 ht="15" hidden="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 ht="15" hidden="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 ht="15" hidden="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 ht="15" hidden="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 ht="15" hidden="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 ht="15" hidden="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 ht="15" hidden="0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 ht="15" hidden="0" customHeight="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 ht="15" hidden="0" customHeight="1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 ht="15" hidden="0" customHeight="1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 ht="15" hidden="0" customHeight="1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 ht="15" hidden="0" customHeight="1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 ht="15" hidden="0" customHeight="1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 ht="15" hidden="0" customHeight="1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 ht="15" hidden="0" customHeight="1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 ht="15" hidden="0" customHeight="1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 ht="15" hidden="0" customHeight="1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 ht="15" hidden="0" customHeight="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 ht="15" hidden="0" customHeight="1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 ht="15" hidden="0" customHeight="1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 ht="15" hidden="0" customHeight="1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 ht="15" hidden="0" customHeight="1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 ht="15" hidden="0" customHeight="1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 ht="15" hidden="0" customHeight="1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 ht="15" hidden="0" customHeight="1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 ht="15" hidden="0" customHeight="1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 ht="15" hidden="0" customHeight="1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 ht="15" hidden="0" customHeight="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 ht="15" hidden="0" customHeight="1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 ht="15" hidden="0" customHeight="1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 ht="15" hidden="0" customHeight="1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 ht="15" hidden="0" customHeight="1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 ht="15" hidden="0" customHeight="1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 ht="15" hidden="0" customHeight="1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 ht="15" hidden="0" customHeight="1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 ht="15" hidden="0" customHeight="1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 ht="15" hidden="0" customHeight="1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 ht="15" hidden="0" customHeight="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 ht="15" hidden="0" customHeight="1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 ht="15" hidden="0" customHeight="1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 ht="15" hidden="0" customHeight="1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 ht="15" hidden="0" customHeight="1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 ht="15" hidden="0" customHeight="1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 ht="15" hidden="0" customHeight="1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 ht="15" hidden="0" customHeight="1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 ht="15" hidden="0" customHeight="1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 ht="15" hidden="0" customHeight="1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 ht="15" hidden="0" customHeight="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 ht="15" hidden="0" customHeight="1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 ht="15" hidden="0" customHeight="1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 ht="15" hidden="0" customHeight="1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 ht="15" hidden="0" customHeight="1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 ht="15" hidden="0" customHeight="1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 ht="15" hidden="0" customHeight="1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 ht="15" hidden="0" customHeight="1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 ht="15" hidden="0" customHeight="1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 ht="15" hidden="0" customHeight="1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 ht="15" hidden="0" customHeight="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 ht="15" hidden="0" customHeight="1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 ht="15" hidden="0" customHeight="1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 ht="15" hidden="0" customHeight="1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 ht="15" hidden="0" customHeight="1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 ht="15" hidden="0" customHeight="1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 ht="15" hidden="0" customHeight="1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 ht="15" hidden="0" customHeight="1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 ht="15" hidden="0" customHeight="1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 ht="15" hidden="0" customHeight="1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 ht="15" hidden="0" customHeight="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 ht="15" hidden="0" customHeight="1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 ht="15" hidden="0" customHeight="1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 ht="15" hidden="0" customHeight="1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 ht="15" hidden="0" customHeight="1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 ht="15" hidden="0" customHeight="1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 ht="15" hidden="0" customHeight="1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 ht="15" hidden="0" customHeight="1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 ht="15" hidden="0" customHeight="1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 ht="15" hidden="0" customHeight="1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 ht="15" hidden="0" customHeight="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 ht="15" hidden="0" customHeight="1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 ht="15" hidden="0" customHeight="1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 ht="15" hidden="0" customHeight="1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 ht="15" hidden="0" customHeight="1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 ht="15" hidden="0" customHeight="1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 ht="15" hidden="0" customHeight="1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 ht="15" hidden="0" customHeight="1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 ht="15" hidden="0" customHeight="1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 ht="15" hidden="0" customHeight="1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 ht="15" hidden="0" customHeight="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 ht="15" hidden="0" customHeight="1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 ht="15" hidden="0" customHeight="1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 ht="15" hidden="0" customHeight="1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 ht="15" hidden="0" customHeight="1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 ht="15" hidden="0" customHeight="1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 ht="15" hidden="0" customHeight="1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 ht="15" hidden="0" customHeight="1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 ht="15" hidden="0" customHeight="1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 ht="15" hidden="0" customHeight="1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 ht="15" hidden="0" customHeight="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 ht="15" hidden="0" customHeight="1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 ht="15" hidden="0" customHeight="1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 ht="15" hidden="0" customHeight="1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 ht="15" hidden="0" customHeight="1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 ht="15" hidden="0" customHeight="1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 ht="15" hidden="0" customHeight="1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 ht="15" hidden="0" customHeight="1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 ht="15" hidden="0" customHeight="1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 ht="15" hidden="0" customHeight="1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 ht="15" hidden="0" customHeight="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 ht="15" hidden="0" customHeight="1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 ht="15" hidden="0" customHeight="1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 ht="15" hidden="0" customHeight="1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 ht="15" hidden="0" customHeight="1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 ht="15" hidden="0" customHeight="1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 ht="15" hidden="0" customHeight="1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 ht="15" hidden="0" customHeight="1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 ht="15" hidden="0" customHeight="1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 ht="15" hidden="0" customHeight="1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 ht="15" hidden="0" customHeight="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 ht="15" hidden="0" customHeight="1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 ht="15" hidden="0" customHeight="1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 ht="15" hidden="0" customHeight="1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 ht="15" hidden="0" customHeight="1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 ht="15" hidden="0" customHeight="1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 ht="15" hidden="0" customHeight="1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 ht="15" hidden="0" customHeight="1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 ht="15" hidden="0" customHeight="1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 ht="15" hidden="0" customHeight="1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 ht="15" hidden="0" customHeight="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 ht="15" hidden="0" customHeight="1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 ht="15" hidden="0" customHeight="1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 ht="15" hidden="0" customHeight="1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 ht="15" hidden="0" customHeight="1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 ht="15" hidden="0" customHeight="1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 ht="15" hidden="0" customHeight="1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 ht="15" hidden="0" customHeight="1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 ht="15" hidden="0" customHeight="1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 ht="15" hidden="0" customHeight="1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 ht="15" hidden="0" customHeight="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 ht="15" hidden="0" customHeight="1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 ht="15" hidden="0" customHeight="1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 ht="15" hidden="0" customHeight="1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 ht="15" hidden="0" customHeight="1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 ht="15" hidden="0" customHeight="1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 ht="15" hidden="0" customHeight="1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 ht="15" hidden="0" customHeight="1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 ht="15" hidden="0" customHeight="1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 ht="15" hidden="0" customHeight="1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 ht="15" hidden="0" customHeight="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 ht="15" hidden="0" customHeight="1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 ht="15" hidden="0" customHeight="1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 ht="15" hidden="0" customHeight="1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 ht="15" hidden="0" customHeight="1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 ht="15" hidden="0" customHeight="1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 ht="15" hidden="0" customHeight="1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 ht="15" hidden="0" customHeight="1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 ht="15" hidden="0" customHeight="1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 ht="15" hidden="0" customHeight="1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2.630000114440918" hidden="0" customWidth="1"/>
    <x:col min="3" max="3" width="16.1299991607666" hidden="0" customWidth="1"/>
    <x:col min="4" max="4" width="16.3799991607666" hidden="0" customWidth="1"/>
    <x:col min="5" max="5" width="11.25" hidden="0" customWidth="1"/>
    <x:col min="6" max="6" width="20.8799991607666" hidden="0" customWidth="1"/>
    <x:col min="7" max="7" width="11.5" hidden="0" customWidth="1"/>
    <x:col min="8" max="8" width="11.880000114440918" hidden="0" customWidth="1"/>
    <x:col min="9" max="9" width="9.630000114440918" hidden="0" customWidth="1"/>
    <x:col min="10" max="10" width="12.75" hidden="0" customWidth="1"/>
    <x:col min="11" max="11" width="27.3799991607666" hidden="0" customWidth="1"/>
    <x:col min="12" max="12" width="19.75" hidden="0" customWidth="1"/>
  </x:cols>
  <x:sheetData>
    <x:row r="1" ht="15" hidden="0" customHeight="1">
      <x:c r="A1" s="47" t="str">
        <x:v>week_start</x:v>
      </x:c>
      <x:c r="B1" s="47" t="str">
        <x:v>category</x:v>
      </x:c>
      <x:c r="C1" s="47" t="str">
        <x:v>product</x:v>
      </x:c>
      <x:c r="D1" s="47" t="str">
        <x:v>our_platform</x:v>
      </x:c>
      <x:c r="E1" s="47" t="str">
        <x:v>our_price_inr</x:v>
      </x:c>
      <x:c r="F1" s="47" t="str">
        <x:v>competitor_avg_price_inr</x:v>
      </x:c>
      <x:c r="G1" s="47" t="str">
        <x:v>price_gap_inr</x:v>
      </x:c>
      <x:c r="H1" s="47" t="str">
        <x:v>price_gap_pct</x:v>
      </x:c>
      <x:c r="I1" s="47" t="str">
        <x:v>position</x:v>
      </x:c>
      <x:c r="J1" s="47" t="str">
        <x:v>our_availability</x:v>
      </x:c>
      <x:c r="K1" s="47" t="str">
        <x:v>same_platform_competitor_count</x:v>
      </x:c>
      <x:c r="L1" s="47" t="str">
        <x:v>same_platform_gap_pct</x:v>
      </x:c>
    </x:row>
    <x:row r="2" ht="15" hidden="0" customHeight="1">
      <x:c r="A2" s="41" t="n">
        <x:v>46069</x:v>
      </x:c>
      <x:c r="B2" s="41" t="str">
        <x:v>Fashion</x:v>
      </x:c>
      <x:c r="C2" s="41" t="str">
        <x:v>Formal Shirt</x:v>
      </x:c>
      <x:c r="D2" s="41" t="str">
        <x:v>Marketplace</x:v>
      </x:c>
      <x:c r="E2" s="41" t="n">
        <x:v>1697</x:v>
      </x:c>
      <x:c r="F2" s="41" t="n">
        <x:v>1572.6666666666667</x:v>
      </x:c>
      <x:c r="G2" s="41" t="n">
        <x:v>124.33333333333326</x:v>
      </x:c>
      <x:c r="H2" s="41" t="n">
        <x:v>7.905892327257308</x:v>
      </x:c>
      <x:c r="I2" s="41" t="str">
        <x:v>Overpriced</x:v>
      </x:c>
      <x:c r="J2" s="41" t="str">
        <x:v>In stock</x:v>
      </x:c>
      <x:c r="K2" s="41" t="n">
        <x:v>0</x:v>
      </x:c>
      <x:c r="L2" s="41"/>
    </x:row>
    <x:row r="3" ht="15" hidden="0" customHeight="1">
      <x:c r="A3" s="41" t="n">
        <x:v>46069</x:v>
      </x:c>
      <x:c r="B3" s="41" t="str">
        <x:v>Grocery</x:v>
      </x:c>
      <x:c r="C3" s="41" t="str">
        <x:v>Dry Fruits Mix 500g</x:v>
      </x:c>
      <x:c r="D3" s="41" t="str">
        <x:v>Marketplace</x:v>
      </x:c>
      <x:c r="E3" s="41" t="n">
        <x:v>851</x:v>
      </x:c>
      <x:c r="F3" s="41" t="n">
        <x:v>844.3333333333334</x:v>
      </x:c>
      <x:c r="G3" s="41" t="n">
        <x:v>6.666666666666629</x:v>
      </x:c>
      <x:c r="H3" s="41" t="n">
        <x:v>0.7895775759968372</x:v>
      </x:c>
      <x:c r="I3" s="41" t="str">
        <x:v>Overpriced</x:v>
      </x:c>
      <x:c r="J3" s="41" t="str">
        <x:v>In stock</x:v>
      </x:c>
      <x:c r="K3" s="41" t="n">
        <x:v>0</x:v>
      </x:c>
      <x:c r="L3" s="41"/>
    </x:row>
    <x:row r="4" ht="15" hidden="0" customHeight="1">
      <x:c r="A4" s="41" t="n">
        <x:v>46069</x:v>
      </x:c>
      <x:c r="B4" s="41" t="str">
        <x:v>Beauty</x:v>
      </x:c>
      <x:c r="C4" s="41" t="str">
        <x:v>Beard Trimmer</x:v>
      </x:c>
      <x:c r="D4" s="41" t="str">
        <x:v>Quick-commerce app</x:v>
      </x:c>
      <x:c r="E4" s="41" t="n">
        <x:v>1815</x:v>
      </x:c>
      <x:c r="F4" s="41" t="n">
        <x:v>1804.3333333333333</x:v>
      </x:c>
      <x:c r="G4" s="41" t="n">
        <x:v>10.666666666666742</x:v>
      </x:c>
      <x:c r="H4" s="41" t="n">
        <x:v>0.5911694069831929</x:v>
      </x:c>
      <x:c r="I4" s="41" t="str">
        <x:v>Overpriced</x:v>
      </x:c>
      <x:c r="J4" s="41" t="str">
        <x:v>In stock</x:v>
      </x:c>
      <x:c r="K4" s="41" t="n">
        <x:v>0</x:v>
      </x:c>
      <x:c r="L4" s="41"/>
    </x:row>
    <x:row r="5" ht="15" hidden="0" customHeight="1">
      <x:c r="A5" s="41" t="n">
        <x:v>46069</x:v>
      </x:c>
      <x:c r="B5" s="41" t="str">
        <x:v>Beauty</x:v>
      </x:c>
      <x:c r="C5" s="41" t="str">
        <x:v>Beard Trimmer</x:v>
      </x:c>
      <x:c r="D5" s="41" t="str">
        <x:v>Own website</x:v>
      </x:c>
      <x:c r="E5" s="41" t="n">
        <x:v>2110</x:v>
      </x:c>
      <x:c r="F5" s="41" t="n">
        <x:v>2129.6666666666665</x:v>
      </x:c>
      <x:c r="G5" s="41" t="n">
        <x:v>-19.666666666666515</x:v>
      </x:c>
      <x:c r="H5" s="41" t="n">
        <x:v>-0.923462200657373</x:v>
      </x:c>
      <x:c r="I5" s="41" t="str">
        <x:v>Underpriced</x:v>
      </x:c>
      <x:c r="J5" s="41" t="str">
        <x:v>In stock</x:v>
      </x:c>
      <x:c r="K5" s="41" t="n">
        <x:v>1</x:v>
      </x:c>
      <x:c r="L5" s="41" t="n">
        <x:v>-10.932883073026593</x:v>
      </x:c>
    </x:row>
    <x:row r="6" ht="15" hidden="0" customHeight="1">
      <x:c r="A6" s="41" t="n">
        <x:v>46069</x:v>
      </x:c>
      <x:c r="B6" s="41" t="str">
        <x:v>Grocery</x:v>
      </x:c>
      <x:c r="C6" s="41" t="str">
        <x:v>Cold-pressed Oil 1L</x:v>
      </x:c>
      <x:c r="D6" s="41" t="str">
        <x:v>Own website</x:v>
      </x:c>
      <x:c r="E6" s="41" t="n">
        <x:v>400</x:v>
      </x:c>
      <x:c r="F6" s="41" t="n">
        <x:v>418.3333333333333</x:v>
      </x:c>
      <x:c r="G6" s="41" t="n">
        <x:v>-18.333333333333314</x:v>
      </x:c>
      <x:c r="H6" s="41" t="n">
        <x:v>-4.382470119521908</x:v>
      </x:c>
      <x:c r="I6" s="41" t="str">
        <x:v>Underpriced</x:v>
      </x:c>
      <x:c r="J6" s="41" t="str">
        <x:v>In stock</x:v>
      </x:c>
      <x:c r="K6" s="41" t="n">
        <x:v>1</x:v>
      </x:c>
      <x:c r="L6" s="41" t="n">
        <x:v>-1.477832512315271</x:v>
      </x:c>
    </x:row>
    <x:row r="7" ht="15" hidden="0" customHeight="1">
      <x:c r="A7" s="41" t="n">
        <x:v>46069</x:v>
      </x:c>
      <x:c r="B7" s="41" t="str">
        <x:v>Grocery</x:v>
      </x:c>
      <x:c r="C7" s="41" t="str">
        <x:v>Cold-pressed Oil 1L</x:v>
      </x:c>
      <x:c r="D7" s="41" t="str">
        <x:v>Quick-commerce app</x:v>
      </x:c>
      <x:c r="E7" s="41" t="n">
        <x:v>405</x:v>
      </x:c>
      <x:c r="F7" s="41" t="n">
        <x:v>432.3333333333333</x:v>
      </x:c>
      <x:c r="G7" s="41" t="n">
        <x:v>-27.333333333333314</x:v>
      </x:c>
      <x:c r="H7" s="41" t="n">
        <x:v>-6.322282189668462</x:v>
      </x:c>
      <x:c r="I7" s="41" t="str">
        <x:v>Underpriced</x:v>
      </x:c>
      <x:c r="J7" s="41" t="str">
        <x:v>In stock</x:v>
      </x:c>
      <x:c r="K7" s="41" t="n">
        <x:v>1</x:v>
      </x:c>
      <x:c r="L7" s="41" t="n">
        <x:v>-14.012738853503185</x:v>
      </x:c>
    </x:row>
    <x:row r="8" ht="15" hidden="0" customHeight="1">
      <x:c r="A8" s="41" t="n">
        <x:v>46069</x:v>
      </x:c>
      <x:c r="B8" s="41" t="str">
        <x:v>Electronics</x:v>
      </x:c>
      <x:c r="C8" s="41" t="str">
        <x:v>USB-C Charger 65W</x:v>
      </x:c>
      <x:c r="D8" s="41" t="str">
        <x:v>Marketplace</x:v>
      </x:c>
      <x:c r="E8" s="41" t="n">
        <x:v>1326</x:v>
      </x:c>
      <x:c r="F8" s="41" t="n">
        <x:v>1463.6666666666667</x:v>
      </x:c>
      <x:c r="G8" s="41" t="n">
        <x:v>-137.66666666666674</x:v>
      </x:c>
      <x:c r="H8" s="41" t="n">
        <x:v>-9.40560236848099</x:v>
      </x:c>
      <x:c r="I8" s="41" t="str">
        <x:v>Underpriced</x:v>
      </x:c>
      <x:c r="J8" s="41" t="str">
        <x:v>In stock</x:v>
      </x:c>
      <x:c r="K8" s="41" t="n">
        <x:v>2</x:v>
      </x:c>
      <x:c r="L8" s="41" t="n">
        <x:v>-6.914706914706915</x:v>
      </x:c>
    </x:row>
    <x:row r="9" ht="15" hidden="0" customHeight="1">
      <x:c r="A9" s="41" t="n">
        <x:v>46069</x:v>
      </x:c>
      <x:c r="B9" s="41" t="str">
        <x:v>Grocery</x:v>
      </x:c>
      <x:c r="C9" s="41" t="str">
        <x:v>Cold-pressed Oil 1L</x:v>
      </x:c>
      <x:c r="D9" s="41" t="str">
        <x:v>Quick-commerce app</x:v>
      </x:c>
      <x:c r="E9" s="41" t="n">
        <x:v>305</x:v>
      </x:c>
      <x:c r="F9" s="41" t="n">
        <x:v>349.6666666666667</x:v>
      </x:c>
      <x:c r="G9" s="41" t="n">
        <x:v>-44.666666666666686</x:v>
      </x:c>
      <x:c r="H9" s="41" t="n">
        <x:v>-12.774070543374647</x:v>
      </x:c>
      <x:c r="I9" s="41" t="str">
        <x:v>Underpriced</x:v>
      </x:c>
      <x:c r="J9" s="41" t="str">
        <x:v>In stock</x:v>
      </x:c>
      <x:c r="K9" s="41" t="n">
        <x:v>2</x:v>
      </x:c>
      <x:c r="L9" s="41" t="n">
        <x:v>-9.090909090909092</x:v>
      </x:c>
    </x:row>
    <x:row r="10" ht="15" hidden="0" customHeight="1">
      <x:c r="A10" s="41" t="n">
        <x:v>46069</x:v>
      </x:c>
      <x:c r="B10" s="41" t="str">
        <x:v>Beauty</x:v>
      </x:c>
      <x:c r="C10" s="41" t="str">
        <x:v>Beard Trimmer</x:v>
      </x:c>
      <x:c r="D10" s="41" t="str">
        <x:v>Marketplace</x:v>
      </x:c>
      <x:c r="E10" s="41" t="n">
        <x:v>1353</x:v>
      </x:c>
      <x:c r="F10" s="41" t="n">
        <x:v>1554.3333333333333</x:v>
      </x:c>
      <x:c r="G10" s="41" t="n">
        <x:v>-201.33333333333326</x:v>
      </x:c>
      <x:c r="H10" s="41" t="n">
        <x:v>-12.953034527128453</x:v>
      </x:c>
      <x:c r="I10" s="41" t="str">
        <x:v>Underpriced</x:v>
      </x:c>
      <x:c r="J10" s="41" t="str">
        <x:v>In stock</x:v>
      </x:c>
      <x:c r="K10" s="41" t="n">
        <x:v>2</x:v>
      </x:c>
      <x:c r="L10" s="41" t="n">
        <x:v>-13.656668793873644</x:v>
      </x:c>
    </x:row>
    <x:row r="11" ht="15" hidden="0" customHeight="1">
      <x:c r="A11" s="41" t="n">
        <x:v>46069</x:v>
      </x:c>
      <x:c r="B11" s="41" t="str">
        <x:v>Home &amp; Kitchen</x:v>
      </x:c>
      <x:c r="C11" s="41" t="str">
        <x:v>Pressure Cooker 5L</x:v>
      </x:c>
      <x:c r="D11" s="41" t="str">
        <x:v>Marketplace</x:v>
      </x:c>
      <x:c r="E11" s="41" t="n">
        <x:v>1315</x:v>
      </x:c>
      <x:c r="F11" s="41" t="n">
        <x:v>1567</x:v>
      </x:c>
      <x:c r="G11" s="41" t="n">
        <x:v>-252</x:v>
      </x:c>
      <x:c r="H11" s="41" t="n">
        <x:v>-16.081684747925973</x:v>
      </x:c>
      <x:c r="I11" s="41" t="str">
        <x:v>Underpriced</x:v>
      </x:c>
      <x:c r="J11" s="41" t="str">
        <x:v>In stock</x:v>
      </x:c>
      <x:c r="K11" s="41" t="n">
        <x:v>1</x:v>
      </x:c>
      <x:c r="L11" s="41" t="n">
        <x:v>-16.77215189873418</x:v>
      </x:c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</x:row>
    <x:row r="14" ht="15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</x:row>
    <x:row r="15" ht="15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</x:row>
    <x:row r="16" ht="15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</x:row>
    <x:row r="17" ht="15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</x:row>
    <x:row r="18" ht="15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</x:row>
    <x:row r="19" ht="15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</x:row>
    <x:row r="20" ht="15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9.200000762939453" hidden="0" customHeight="1">
      <x:c r="A1" s="36" t="str">
        <x:v>Verified Weekly Competitor Price Intelligence Brief</x:v>
      </x:c>
      <x:c r="B1" s="36"/>
      <x:c r="C1" s="36"/>
      <x:c r="D1" s="36"/>
      <x:c r="E1" s="36"/>
      <x:c r="F1" s="36"/>
    </x:row>
    <x:row r="2"/>
    <x:row r="3" ht="192" hidden="0" customHeight="1">
      <x:c r="A3" s="41" t="str">
        <x:v>WEEKLY COMPETITOR PRICE INTELLIGENCE BRIEF — 16 February 2026
Executive Summary
The tracker contains 10 comparable observations for the week. Our Brand is above the three-competitor average in 3 observation(s) and below it in 7 observation(s). The average normalized price gap is -5.4% and the median is -5.4%. Same-platform competitor coverage is 70%.
Category Signal
Fashion had the highest average gap (+7.9%), while Home &amp; Kitchen had the lowest (-16.1%).
Key Risks
Largest positive gaps: Formal Shirt (+7.9%); Dry Fruits Mix 500g (+0.8%); Beard Trimmer (+0.6%).
Opportunities
Largest negative gaps: Pressure Cooker 5L (-16.1%); Beard Trimmer (-13.0%); Cold-pressed Oil 1L (-12.8%).
Recommended Actions
review Formal Shirt because Our Brand is 7.9% above the three-competitor average; check margin headroom on Pressure Cooker 5L because Our Brand is 16.1% below the benchmark; check margin headroom on Beard Trimmer because Our Brand is 13.0% below the benchmark; check margin headroom on Cold-pressed Oil 1L because Our Brand is 12.8% below the benchmark. Before any price change, confirm stock status, platform comparability, promotion status and margin.</x:v>
      </x:c>
      <x:c r="B3" s="41"/>
      <x:c r="C3" s="41"/>
      <x:c r="D3" s="41"/>
      <x:c r="E3" s="41"/>
      <x:c r="F3" s="41"/>
    </x:row>
    <x:row r="4"/>
    <x:row r="5" ht="15" hidden="0" customHeight="1">
      <x:c r="A5" s="66" t="str">
        <x:v>All numeric claims above come from the deterministic Python/Excel analysis. The LLM is used for wording and management communication, not as the source of calculations.</x:v>
      </x:c>
      <x:c r="B5" s="66"/>
      <x:c r="C5" s="66"/>
      <x:c r="D5" s="66"/>
      <x:c r="E5" s="66"/>
      <x:c r="F5" s="66"/>
    </x:row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F1"/>
    <x:mergeCell ref="A3:F3"/>
    <x:mergeCell ref="A5:F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2.630000114440918" hidden="0" customWidth="1"/>
    <x:col min="3" max="3" width="18.3799991607666" hidden="0" customWidth="1"/>
    <x:col min="4" max="4" width="16.3799991607666" hidden="0" customWidth="1"/>
    <x:col min="5" max="5" width="11.25" hidden="0" customWidth="1"/>
    <x:col min="6" max="6" width="20.8799991607666" hidden="0" customWidth="1"/>
    <x:col min="7" max="7" width="11.5" hidden="0" customWidth="1"/>
    <x:col min="8" max="8" width="11.880000114440918" hidden="0" customWidth="1"/>
    <x:col min="9" max="9" width="9.630000114440918" hidden="0" customWidth="1"/>
    <x:col min="10" max="10" width="12.75" hidden="0" customWidth="1"/>
    <x:col min="11" max="11" width="27.3799991607666" hidden="0" customWidth="1"/>
    <x:col min="12" max="12" width="19.75" hidden="0" customWidth="1"/>
    <x:col min="13" max="13" width="6.5" hidden="0" customWidth="1"/>
    <x:col min="14" max="14" width="32" hidden="0" customWidth="1"/>
    <x:col min="15" max="15" width="32" hidden="0" customWidth="1"/>
  </x:cols>
  <x:sheetData>
    <x:row r="1" ht="15" hidden="0" customHeight="1">
      <x:c r="A1" s="47" t="str">
        <x:v>week_start</x:v>
      </x:c>
      <x:c r="B1" s="47" t="str">
        <x:v>category</x:v>
      </x:c>
      <x:c r="C1" s="47" t="str">
        <x:v>product</x:v>
      </x:c>
      <x:c r="D1" s="47" t="str">
        <x:v>our_platform</x:v>
      </x:c>
      <x:c r="E1" s="47" t="str">
        <x:v>our_price_inr</x:v>
      </x:c>
      <x:c r="F1" s="47" t="str">
        <x:v>competitor_avg_price_inr</x:v>
      </x:c>
      <x:c r="G1" s="47" t="str">
        <x:v>price_gap_inr</x:v>
      </x:c>
      <x:c r="H1" s="47" t="str">
        <x:v>price_gap_pct</x:v>
      </x:c>
      <x:c r="I1" s="47" t="str">
        <x:v>position</x:v>
      </x:c>
      <x:c r="J1" s="47" t="str">
        <x:v>our_availability</x:v>
      </x:c>
      <x:c r="K1" s="47" t="str">
        <x:v>same_platform_competitor_count</x:v>
      </x:c>
      <x:c r="L1" s="47" t="str">
        <x:v>same_platform_gap_pct</x:v>
      </x:c>
      <x:c r="M1" s="47" t="str">
        <x:v>priority</x:v>
      </x:c>
      <x:c r="N1" s="47" t="str">
        <x:v>evidence_note</x:v>
      </x:c>
      <x:c r="O1" s="47" t="str">
        <x:v>recommended_action</x:v>
      </x:c>
    </x:row>
    <x:row r="2" ht="15" hidden="0" customHeight="1">
      <x:c r="A2" s="41" t="n">
        <x:v>45985</x:v>
      </x:c>
      <x:c r="B2" s="41" t="str">
        <x:v>Home &amp; Kitchen</x:v>
      </x:c>
      <x:c r="C2" s="41" t="str">
        <x:v>Non-stick Cookware Set</x:v>
      </x:c>
      <x:c r="D2" s="41" t="str">
        <x:v>Marketplace</x:v>
      </x:c>
      <x:c r="E2" s="41" t="n">
        <x:v>3790</x:v>
      </x:c>
      <x:c r="F2" s="41" t="n">
        <x:v>3178.3333333333335</x:v>
      </x:c>
      <x:c r="G2" s="41" t="n">
        <x:v>611.6666666666665</x:v>
      </x:c>
      <x:c r="H2" s="41" t="n">
        <x:v>19.244887257472463</x:v>
      </x:c>
      <x:c r="I2" s="41" t="str">
        <x:v>Overpriced</x:v>
      </x:c>
      <x:c r="J2" s="41" t="str">
        <x:v>Low stock</x:v>
      </x:c>
      <x:c r="K2" s="41" t="n">
        <x:v>0</x:v>
      </x:c>
      <x:c r="L2" s="41"/>
      <x:c r="M2" s="41" t="str">
        <x:v>High</x:v>
      </x:c>
      <x:c r="N2" s="41" t="str">
        <x:v>Cross-platform benchmark only</x:v>
      </x:c>
      <x:c r="O2" s="41" t="str">
        <x:v>Review price/promotion or document why the premium is justified.</x:v>
      </x:c>
    </x:row>
    <x:row r="3" ht="15" hidden="0" customHeight="1">
      <x:c r="A3" s="41" t="n">
        <x:v>45978</x:v>
      </x:c>
      <x:c r="B3" s="41" t="str">
        <x:v>Electronics</x:v>
      </x:c>
      <x:c r="C3" s="41" t="str">
        <x:v>Bluetooth Speaker</x:v>
      </x:c>
      <x:c r="D3" s="41" t="str">
        <x:v>Quick-commerce app</x:v>
      </x:c>
      <x:c r="E3" s="41" t="n">
        <x:v>4658</x:v>
      </x:c>
      <x:c r="F3" s="41" t="n">
        <x:v>3946.3333333333335</x:v>
      </x:c>
      <x:c r="G3" s="41" t="n">
        <x:v>711.6666666666665</x:v>
      </x:c>
      <x:c r="H3" s="41" t="n">
        <x:v>18.033617704197987</x:v>
      </x:c>
      <x:c r="I3" s="41" t="str">
        <x:v>Overpriced</x:v>
      </x:c>
      <x:c r="J3" s="41" t="str">
        <x:v>Low stock</x:v>
      </x:c>
      <x:c r="K3" s="41" t="n">
        <x:v>1</x:v>
      </x:c>
      <x:c r="L3" s="41" t="n">
        <x:v>27.791495198902606</x:v>
      </x:c>
      <x:c r="M3" s="41" t="str">
        <x:v>High</x:v>
      </x:c>
      <x:c r="N3" s="41" t="str">
        <x:v>Same-platform competitor evidence available</x:v>
      </x:c>
      <x:c r="O3" s="41" t="str">
        <x:v>Review price/promotion or document why the premium is justified.</x:v>
      </x:c>
    </x:row>
    <x:row r="4" ht="15" hidden="0" customHeight="1">
      <x:c r="A4" s="41" t="n">
        <x:v>46006</x:v>
      </x:c>
      <x:c r="B4" s="41" t="str">
        <x:v>Grocery</x:v>
      </x:c>
      <x:c r="C4" s="41" t="str">
        <x:v>Green Tea 100 bags</x:v>
      </x:c>
      <x:c r="D4" s="41" t="str">
        <x:v>Quick-commerce app</x:v>
      </x:c>
      <x:c r="E4" s="41" t="n">
        <x:v>343</x:v>
      </x:c>
      <x:c r="F4" s="41" t="n">
        <x:v>294.3333333333333</x:v>
      </x:c>
      <x:c r="G4" s="41" t="n">
        <x:v>48.666666666666686</x:v>
      </x:c>
      <x:c r="H4" s="41" t="n">
        <x:v>16.53454133635335</x:v>
      </x:c>
      <x:c r="I4" s="41" t="str">
        <x:v>Overpriced</x:v>
      </x:c>
      <x:c r="J4" s="41" t="str">
        <x:v>Low stock</x:v>
      </x:c>
      <x:c r="K4" s="41" t="n">
        <x:v>1</x:v>
      </x:c>
      <x:c r="L4" s="41" t="n">
        <x:v>28.947368421052634</x:v>
      </x:c>
      <x:c r="M4" s="41" t="str">
        <x:v>High</x:v>
      </x:c>
      <x:c r="N4" s="41" t="str">
        <x:v>Same-platform competitor evidence available</x:v>
      </x:c>
      <x:c r="O4" s="41" t="str">
        <x:v>Review price/promotion or document why the premium is justified.</x:v>
      </x:c>
    </x:row>
    <x:row r="5" ht="15" hidden="0" customHeight="1">
      <x:c r="A5" s="41" t="n">
        <x:v>46006</x:v>
      </x:c>
      <x:c r="B5" s="41" t="str">
        <x:v>Grocery</x:v>
      </x:c>
      <x:c r="C5" s="41" t="str">
        <x:v>Cold-pressed Oil 1L</x:v>
      </x:c>
      <x:c r="D5" s="41" t="str">
        <x:v>Own website</x:v>
      </x:c>
      <x:c r="E5" s="41" t="n">
        <x:v>364</x:v>
      </x:c>
      <x:c r="F5" s="41" t="n">
        <x:v>435.6666666666667</x:v>
      </x:c>
      <x:c r="G5" s="41" t="n">
        <x:v>-71.66666666666669</x:v>
      </x:c>
      <x:c r="H5" s="41" t="n">
        <x:v>-16.44988523335884</x:v>
      </x:c>
      <x:c r="I5" s="41" t="str">
        <x:v>Underpriced</x:v>
      </x:c>
      <x:c r="J5" s="41" t="str">
        <x:v>Out of stock</x:v>
      </x:c>
      <x:c r="K5" s="41" t="n">
        <x:v>0</x:v>
      </x:c>
      <x:c r="L5" s="41"/>
      <x:c r="M5" s="41" t="str">
        <x:v>High</x:v>
      </x:c>
      <x:c r="N5" s="41" t="str">
        <x:v>Cross-platform benchmark only</x:v>
      </x:c>
      <x:c r="O5" s="41" t="str">
        <x:v>Review margin opportunity; keep discount if it is strategically intentional.</x:v>
      </x:c>
    </x:row>
    <x:row r="6" ht="15" hidden="0" customHeight="1">
      <x:c r="A6" s="41" t="n">
        <x:v>45936</x:v>
      </x:c>
      <x:c r="B6" s="41" t="str">
        <x:v>Beauty</x:v>
      </x:c>
      <x:c r="C6" s="41" t="str">
        <x:v>Beard Trimmer</x:v>
      </x:c>
      <x:c r="D6" s="41" t="str">
        <x:v>Marketplace</x:v>
      </x:c>
      <x:c r="E6" s="41" t="n">
        <x:v>1018</x:v>
      </x:c>
      <x:c r="F6" s="41" t="n">
        <x:v>1217</x:v>
      </x:c>
      <x:c r="G6" s="41" t="n">
        <x:v>-199</x:v>
      </x:c>
      <x:c r="H6" s="41" t="n">
        <x:v>-16.35168447000822</x:v>
      </x:c>
      <x:c r="I6" s="41" t="str">
        <x:v>Underpriced</x:v>
      </x:c>
      <x:c r="J6" s="41" t="str">
        <x:v>In stock</x:v>
      </x:c>
      <x:c r="K6" s="41" t="n">
        <x:v>2</x:v>
      </x:c>
      <x:c r="L6" s="41" t="n">
        <x:v>-19.493871095294583</x:v>
      </x:c>
      <x:c r="M6" s="41" t="str">
        <x:v>High</x:v>
      </x:c>
      <x:c r="N6" s="41" t="str">
        <x:v>Same-platform competitor evidence available</x:v>
      </x:c>
      <x:c r="O6" s="41" t="str">
        <x:v>Review margin opportunity; keep discount if it is strategically intentional.</x:v>
      </x:c>
    </x:row>
    <x:row r="7" ht="15" hidden="0" customHeight="1">
      <x:c r="A7" s="41" t="n">
        <x:v>46069</x:v>
      </x:c>
      <x:c r="B7" s="41" t="str">
        <x:v>Home &amp; Kitchen</x:v>
      </x:c>
      <x:c r="C7" s="41" t="str">
        <x:v>Pressure Cooker 5L</x:v>
      </x:c>
      <x:c r="D7" s="41" t="str">
        <x:v>Marketplace</x:v>
      </x:c>
      <x:c r="E7" s="41" t="n">
        <x:v>1315</x:v>
      </x:c>
      <x:c r="F7" s="41" t="n">
        <x:v>1567</x:v>
      </x:c>
      <x:c r="G7" s="41" t="n">
        <x:v>-252</x:v>
      </x:c>
      <x:c r="H7" s="41" t="n">
        <x:v>-16.081684747925973</x:v>
      </x:c>
      <x:c r="I7" s="41" t="str">
        <x:v>Underpriced</x:v>
      </x:c>
      <x:c r="J7" s="41" t="str">
        <x:v>In stock</x:v>
      </x:c>
      <x:c r="K7" s="41" t="n">
        <x:v>1</x:v>
      </x:c>
      <x:c r="L7" s="41" t="n">
        <x:v>-16.77215189873418</x:v>
      </x:c>
      <x:c r="M7" s="41" t="str">
        <x:v>High</x:v>
      </x:c>
      <x:c r="N7" s="41" t="str">
        <x:v>Same-platform competitor evidence available</x:v>
      </x:c>
      <x:c r="O7" s="41" t="str">
        <x:v>Review margin opportunity; keep discount if it is strategically intentional.</x:v>
      </x:c>
    </x:row>
    <x:row r="8" ht="15" hidden="0" customHeight="1">
      <x:c r="A8" s="41" t="n">
        <x:v>45985</x:v>
      </x:c>
      <x:c r="B8" s="41" t="str">
        <x:v>Grocery</x:v>
      </x:c>
      <x:c r="C8" s="41" t="str">
        <x:v>Green Tea 100 bags</x:v>
      </x:c>
      <x:c r="D8" s="41" t="str">
        <x:v>Own website</x:v>
      </x:c>
      <x:c r="E8" s="41" t="n">
        <x:v>386</x:v>
      </x:c>
      <x:c r="F8" s="41" t="n">
        <x:v>459.3333333333333</x:v>
      </x:c>
      <x:c r="G8" s="41" t="n">
        <x:v>-73.33333333333331</x:v>
      </x:c>
      <x:c r="H8" s="41" t="n">
        <x:v>-15.96516690856313</x:v>
      </x:c>
      <x:c r="I8" s="41" t="str">
        <x:v>Underpriced</x:v>
      </x:c>
      <x:c r="J8" s="41" t="str">
        <x:v>In stock</x:v>
      </x:c>
      <x:c r="K8" s="41" t="n">
        <x:v>1</x:v>
      </x:c>
      <x:c r="L8" s="41" t="n">
        <x:v>-23.715415019762844</x:v>
      </x:c>
      <x:c r="M8" s="41" t="str">
        <x:v>High</x:v>
      </x:c>
      <x:c r="N8" s="41" t="str">
        <x:v>Same-platform competitor evidence available</x:v>
      </x:c>
      <x:c r="O8" s="41" t="str">
        <x:v>Review margin opportunity; keep discount if it is strategically intentional.</x:v>
      </x:c>
    </x:row>
    <x:row r="9" ht="15" hidden="0" customHeight="1">
      <x:c r="A9" s="41" t="n">
        <x:v>46027</x:v>
      </x:c>
      <x:c r="B9" s="41" t="str">
        <x:v>Home &amp; Kitchen</x:v>
      </x:c>
      <x:c r="C9" s="41" t="str">
        <x:v>Non-stick Cookware Set</x:v>
      </x:c>
      <x:c r="D9" s="41" t="str">
        <x:v>Marketplace</x:v>
      </x:c>
      <x:c r="E9" s="41" t="n">
        <x:v>2973</x:v>
      </x:c>
      <x:c r="F9" s="41" t="n">
        <x:v>3524.6666666666665</x:v>
      </x:c>
      <x:c r="G9" s="41" t="n">
        <x:v>-551.6666666666665</x:v>
      </x:c>
      <x:c r="H9" s="41" t="n">
        <x:v>-15.651598259882727</x:v>
      </x:c>
      <x:c r="I9" s="41" t="str">
        <x:v>Underpriced</x:v>
      </x:c>
      <x:c r="J9" s="41" t="str">
        <x:v>In stock</x:v>
      </x:c>
      <x:c r="K9" s="41" t="n">
        <x:v>0</x:v>
      </x:c>
      <x:c r="L9" s="41"/>
      <x:c r="M9" s="41" t="str">
        <x:v>High</x:v>
      </x:c>
      <x:c r="N9" s="41" t="str">
        <x:v>Cross-platform benchmark only</x:v>
      </x:c>
      <x:c r="O9" s="41" t="str">
        <x:v>Review margin opportunity; keep discount if it is strategically intentional.</x:v>
      </x:c>
    </x:row>
    <x:row r="10" ht="15" hidden="0" customHeight="1">
      <x:c r="A10" s="41" t="n">
        <x:v>46055</x:v>
      </x:c>
      <x:c r="B10" s="41" t="str">
        <x:v>Beauty</x:v>
      </x:c>
      <x:c r="C10" s="41" t="str">
        <x:v>Beard Trimmer</x:v>
      </x:c>
      <x:c r="D10" s="41" t="str">
        <x:v>Marketplace</x:v>
      </x:c>
      <x:c r="E10" s="41" t="n">
        <x:v>1765</x:v>
      </x:c>
      <x:c r="F10" s="41" t="n">
        <x:v>1528.6666666666667</x:v>
      </x:c>
      <x:c r="G10" s="41" t="n">
        <x:v>236.33333333333326</x:v>
      </x:c>
      <x:c r="H10" s="41" t="n">
        <x:v>15.460095944177926</x:v>
      </x:c>
      <x:c r="I10" s="41" t="str">
        <x:v>Overpriced</x:v>
      </x:c>
      <x:c r="J10" s="41" t="str">
        <x:v>In stock</x:v>
      </x:c>
      <x:c r="K10" s="41" t="n">
        <x:v>1</x:v>
      </x:c>
      <x:c r="L10" s="41" t="n">
        <x:v>18.376928236083163</x:v>
      </x:c>
      <x:c r="M10" s="41" t="str">
        <x:v>High</x:v>
      </x:c>
      <x:c r="N10" s="41" t="str">
        <x:v>Same-platform competitor evidence available</x:v>
      </x:c>
      <x:c r="O10" s="41" t="str">
        <x:v>Review price/promotion or document why the premium is justified.</x:v>
      </x:c>
    </x:row>
    <x:row r="11" ht="15" hidden="0" customHeight="1">
      <x:c r="A11" s="41" t="n">
        <x:v>46006</x:v>
      </x:c>
      <x:c r="B11" s="41" t="str">
        <x:v>Fashion</x:v>
      </x:c>
      <x:c r="C11" s="41" t="str">
        <x:v>Denim Jeans</x:v>
      </x:c>
      <x:c r="D11" s="41" t="str">
        <x:v>Own website</x:v>
      </x:c>
      <x:c r="E11" s="41" t="n">
        <x:v>1653</x:v>
      </x:c>
      <x:c r="F11" s="41" t="n">
        <x:v>1950.6666666666667</x:v>
      </x:c>
      <x:c r="G11" s="41" t="n">
        <x:v>-297.66666666666674</x:v>
      </x:c>
      <x:c r="H11" s="41" t="n">
        <x:v>-15.259740259740262</x:v>
      </x:c>
      <x:c r="I11" s="41" t="str">
        <x:v>Underpriced</x:v>
      </x:c>
      <x:c r="J11" s="41" t="str">
        <x:v>Out of stock</x:v>
      </x:c>
      <x:c r="K11" s="41" t="n">
        <x:v>1</x:v>
      </x:c>
      <x:c r="L11" s="41" t="n">
        <x:v>-15.187275525910723</x:v>
      </x:c>
      <x:c r="M11" s="41" t="str">
        <x:v>High</x:v>
      </x:c>
      <x:c r="N11" s="41" t="str">
        <x:v>Same-platform competitor evidence available</x:v>
      </x:c>
      <x:c r="O11" s="41" t="str">
        <x:v>Review margin opportunity; keep discount if it is strategically intentional.</x:v>
      </x:c>
    </x:row>
    <x:row r="12" ht="15" hidden="0" customHeight="1">
      <x:c r="A12" s="41" t="n">
        <x:v>45950</x:v>
      </x:c>
      <x:c r="B12" s="41" t="str">
        <x:v>Fashion</x:v>
      </x:c>
      <x:c r="C12" s="41" t="str">
        <x:v>Running Shoes</x:v>
      </x:c>
      <x:c r="D12" s="41" t="str">
        <x:v>Quick-commerce app</x:v>
      </x:c>
      <x:c r="E12" s="41" t="n">
        <x:v>2973</x:v>
      </x:c>
      <x:c r="F12" s="41" t="n">
        <x:v>2590</x:v>
      </x:c>
      <x:c r="G12" s="41" t="n">
        <x:v>383</x:v>
      </x:c>
      <x:c r="H12" s="41" t="n">
        <x:v>14.787644787644789</x:v>
      </x:c>
      <x:c r="I12" s="41" t="str">
        <x:v>Overpriced</x:v>
      </x:c>
      <x:c r="J12" s="41" t="str">
        <x:v>Low stock</x:v>
      </x:c>
      <x:c r="K12" s="41" t="n">
        <x:v>0</x:v>
      </x:c>
      <x:c r="L12" s="41"/>
      <x:c r="M12" s="41" t="str">
        <x:v>High</x:v>
      </x:c>
      <x:c r="N12" s="41" t="str">
        <x:v>Cross-platform benchmark only</x:v>
      </x:c>
      <x:c r="O12" s="41" t="str">
        <x:v>Review price/promotion or document why the premium is justified.</x:v>
      </x:c>
    </x:row>
    <x:row r="13" ht="15" hidden="0" customHeight="1">
      <x:c r="A13" s="41" t="n">
        <x:v>46006</x:v>
      </x:c>
      <x:c r="B13" s="41" t="str">
        <x:v>Fashion</x:v>
      </x:c>
      <x:c r="C13" s="41" t="str">
        <x:v>Cotton Kurta</x:v>
      </x:c>
      <x:c r="D13" s="41" t="str">
        <x:v>Own website</x:v>
      </x:c>
      <x:c r="E13" s="41" t="n">
        <x:v>899</x:v>
      </x:c>
      <x:c r="F13" s="41" t="n">
        <x:v>783.6666666666666</x:v>
      </x:c>
      <x:c r="G13" s="41" t="n">
        <x:v>115.33333333333337</x:v>
      </x:c>
      <x:c r="H13" s="41" t="n">
        <x:v>14.717141641854536</x:v>
      </x:c>
      <x:c r="I13" s="41" t="str">
        <x:v>Overpriced</x:v>
      </x:c>
      <x:c r="J13" s="41" t="str">
        <x:v>Out of stock</x:v>
      </x:c>
      <x:c r="K13" s="41" t="n">
        <x:v>1</x:v>
      </x:c>
      <x:c r="L13" s="41" t="n">
        <x:v>8.57487922705314</x:v>
      </x:c>
      <x:c r="M13" s="41" t="str">
        <x:v>High</x:v>
      </x:c>
      <x:c r="N13" s="41" t="str">
        <x:v>Same-platform competitor evidence available</x:v>
      </x:c>
      <x:c r="O13" s="41" t="str">
        <x:v>Review price/promotion or document why the premium is justified.</x:v>
      </x:c>
    </x:row>
    <x:row r="14" ht="15" hidden="0" customHeight="1">
      <x:c r="A14" s="41" t="n">
        <x:v>46062</x:v>
      </x:c>
      <x:c r="B14" s="41" t="str">
        <x:v>Beauty</x:v>
      </x:c>
      <x:c r="C14" s="41" t="str">
        <x:v>Face Serum</x:v>
      </x:c>
      <x:c r="D14" s="41" t="str">
        <x:v>Marketplace</x:v>
      </x:c>
      <x:c r="E14" s="41" t="n">
        <x:v>734</x:v>
      </x:c>
      <x:c r="F14" s="41" t="n">
        <x:v>857.3333333333334</x:v>
      </x:c>
      <x:c r="G14" s="41" t="n">
        <x:v>-123.33333333333337</x:v>
      </x:c>
      <x:c r="H14" s="41" t="n">
        <x:v>-14.385692068429243</x:v>
      </x:c>
      <x:c r="I14" s="41" t="str">
        <x:v>Underpriced</x:v>
      </x:c>
      <x:c r="J14" s="41" t="str">
        <x:v>In stock</x:v>
      </x:c>
      <x:c r="K14" s="41" t="n">
        <x:v>0</x:v>
      </x:c>
      <x:c r="L14" s="41"/>
      <x:c r="M14" s="41" t="str">
        <x:v>High</x:v>
      </x:c>
      <x:c r="N14" s="41" t="str">
        <x:v>Cross-platform benchmark only</x:v>
      </x:c>
      <x:c r="O14" s="41" t="str">
        <x:v>Review margin opportunity; keep discount if it is strategically intentional.</x:v>
      </x:c>
    </x:row>
    <x:row r="15" ht="15" hidden="0" customHeight="1">
      <x:c r="A15" s="41" t="n">
        <x:v>46062</x:v>
      </x:c>
      <x:c r="B15" s="41" t="str">
        <x:v>Grocery</x:v>
      </x:c>
      <x:c r="C15" s="41" t="str">
        <x:v>Green Tea 100 bags</x:v>
      </x:c>
      <x:c r="D15" s="41" t="str">
        <x:v>Marketplace</x:v>
      </x:c>
      <x:c r="E15" s="41" t="n">
        <x:v>291</x:v>
      </x:c>
      <x:c r="F15" s="41" t="n">
        <x:v>335.3333333333333</x:v>
      </x:c>
      <x:c r="G15" s="41" t="n">
        <x:v>-44.333333333333314</x:v>
      </x:c>
      <x:c r="H15" s="41" t="n">
        <x:v>-13.22067594433399</x:v>
      </x:c>
      <x:c r="I15" s="41" t="str">
        <x:v>Underpriced</x:v>
      </x:c>
      <x:c r="J15" s="41" t="str">
        <x:v>Low stock</x:v>
      </x:c>
      <x:c r="K15" s="41" t="n">
        <x:v>1</x:v>
      </x:c>
      <x:c r="L15" s="41" t="n">
        <x:v>-22.192513368983956</x:v>
      </x:c>
      <x:c r="M15" s="41" t="str">
        <x:v>High</x:v>
      </x:c>
      <x:c r="N15" s="41" t="str">
        <x:v>Same-platform competitor evidence available</x:v>
      </x:c>
      <x:c r="O15" s="41" t="str">
        <x:v>Review margin opportunity; keep discount if it is strategically intentional.</x:v>
      </x:c>
    </x:row>
    <x:row r="16" ht="15" hidden="0" customHeight="1">
      <x:c r="A16" s="41" t="n">
        <x:v>45957</x:v>
      </x:c>
      <x:c r="B16" s="41" t="str">
        <x:v>Beauty</x:v>
      </x:c>
      <x:c r="C16" s="41" t="str">
        <x:v>Face Serum</x:v>
      </x:c>
      <x:c r="D16" s="41" t="str">
        <x:v>Own website</x:v>
      </x:c>
      <x:c r="E16" s="41" t="n">
        <x:v>824</x:v>
      </x:c>
      <x:c r="F16" s="41" t="n">
        <x:v>947</x:v>
      </x:c>
      <x:c r="G16" s="41" t="n">
        <x:v>-123</x:v>
      </x:c>
      <x:c r="H16" s="41" t="n">
        <x:v>-12.988384371700107</x:v>
      </x:c>
      <x:c r="I16" s="41" t="str">
        <x:v>Underpriced</x:v>
      </x:c>
      <x:c r="J16" s="41" t="str">
        <x:v>Low stock</x:v>
      </x:c>
      <x:c r="K16" s="41" t="n">
        <x:v>0</x:v>
      </x:c>
      <x:c r="L16" s="41"/>
      <x:c r="M16" s="41" t="str">
        <x:v>High</x:v>
      </x:c>
      <x:c r="N16" s="41" t="str">
        <x:v>Cross-platform benchmark only</x:v>
      </x:c>
      <x:c r="O16" s="41" t="str">
        <x:v>Review margin opportunity; keep discount if it is strategically intentional.</x:v>
      </x:c>
    </x:row>
    <x:row r="17" ht="15" hidden="0" customHeight="1">
      <x:c r="A17" s="41" t="n">
        <x:v>46069</x:v>
      </x:c>
      <x:c r="B17" s="41" t="str">
        <x:v>Beauty</x:v>
      </x:c>
      <x:c r="C17" s="41" t="str">
        <x:v>Beard Trimmer</x:v>
      </x:c>
      <x:c r="D17" s="41" t="str">
        <x:v>Marketplace</x:v>
      </x:c>
      <x:c r="E17" s="41" t="n">
        <x:v>1353</x:v>
      </x:c>
      <x:c r="F17" s="41" t="n">
        <x:v>1554.3333333333333</x:v>
      </x:c>
      <x:c r="G17" s="41" t="n">
        <x:v>-201.33333333333326</x:v>
      </x:c>
      <x:c r="H17" s="41" t="n">
        <x:v>-12.953034527128453</x:v>
      </x:c>
      <x:c r="I17" s="41" t="str">
        <x:v>Underpriced</x:v>
      </x:c>
      <x:c r="J17" s="41" t="str">
        <x:v>In stock</x:v>
      </x:c>
      <x:c r="K17" s="41" t="n">
        <x:v>2</x:v>
      </x:c>
      <x:c r="L17" s="41" t="n">
        <x:v>-13.656668793873644</x:v>
      </x:c>
      <x:c r="M17" s="41" t="str">
        <x:v>High</x:v>
      </x:c>
      <x:c r="N17" s="41" t="str">
        <x:v>Same-platform competitor evidence available</x:v>
      </x:c>
      <x:c r="O17" s="41" t="str">
        <x:v>Review margin opportunity; keep discount if it is strategically intentional.</x:v>
      </x:c>
    </x:row>
    <x:row r="18" ht="15" hidden="0" customHeight="1">
      <x:c r="A18" s="41" t="n">
        <x:v>46069</x:v>
      </x:c>
      <x:c r="B18" s="41" t="str">
        <x:v>Grocery</x:v>
      </x:c>
      <x:c r="C18" s="41" t="str">
        <x:v>Cold-pressed Oil 1L</x:v>
      </x:c>
      <x:c r="D18" s="41" t="str">
        <x:v>Quick-commerce app</x:v>
      </x:c>
      <x:c r="E18" s="41" t="n">
        <x:v>305</x:v>
      </x:c>
      <x:c r="F18" s="41" t="n">
        <x:v>349.6666666666667</x:v>
      </x:c>
      <x:c r="G18" s="41" t="n">
        <x:v>-44.666666666666686</x:v>
      </x:c>
      <x:c r="H18" s="41" t="n">
        <x:v>-12.774070543374647</x:v>
      </x:c>
      <x:c r="I18" s="41" t="str">
        <x:v>Underpriced</x:v>
      </x:c>
      <x:c r="J18" s="41" t="str">
        <x:v>In stock</x:v>
      </x:c>
      <x:c r="K18" s="41" t="n">
        <x:v>2</x:v>
      </x:c>
      <x:c r="L18" s="41" t="n">
        <x:v>-9.090909090909092</x:v>
      </x:c>
      <x:c r="M18" s="41" t="str">
        <x:v>High</x:v>
      </x:c>
      <x:c r="N18" s="41" t="str">
        <x:v>Same-platform competitor evidence available</x:v>
      </x:c>
      <x:c r="O18" s="41" t="str">
        <x:v>Review margin opportunity; keep discount if it is strategically intentional.</x:v>
      </x:c>
    </x:row>
    <x:row r="19" ht="15" hidden="0" customHeight="1">
      <x:c r="A19" s="41" t="n">
        <x:v>45992</x:v>
      </x:c>
      <x:c r="B19" s="41" t="str">
        <x:v>Fashion</x:v>
      </x:c>
      <x:c r="C19" s="41" t="str">
        <x:v>Formal Shirt</x:v>
      </x:c>
      <x:c r="D19" s="41" t="str">
        <x:v>Quick-commerce app</x:v>
      </x:c>
      <x:c r="E19" s="41" t="n">
        <x:v>1859</x:v>
      </x:c>
      <x:c r="F19" s="41" t="n">
        <x:v>1651</x:v>
      </x:c>
      <x:c r="G19" s="41" t="n">
        <x:v>208</x:v>
      </x:c>
      <x:c r="H19" s="41" t="n">
        <x:v>12.598425196850393</x:v>
      </x:c>
      <x:c r="I19" s="41" t="str">
        <x:v>Overpriced</x:v>
      </x:c>
      <x:c r="J19" s="41" t="str">
        <x:v>Out of stock</x:v>
      </x:c>
      <x:c r="K19" s="41" t="n">
        <x:v>0</x:v>
      </x:c>
      <x:c r="L19" s="41"/>
      <x:c r="M19" s="41" t="str">
        <x:v>High</x:v>
      </x:c>
      <x:c r="N19" s="41" t="str">
        <x:v>Cross-platform benchmark only</x:v>
      </x:c>
      <x:c r="O19" s="41" t="str">
        <x:v>Review price/promotion or document why the premium is justified.</x:v>
      </x:c>
    </x:row>
    <x:row r="20" ht="15" hidden="0" customHeight="1">
      <x:c r="A20" s="41" t="n">
        <x:v>46041</x:v>
      </x:c>
      <x:c r="B20" s="41" t="str">
        <x:v>Grocery</x:v>
      </x:c>
      <x:c r="C20" s="41" t="str">
        <x:v>Organic Jaggery 1kg</x:v>
      </x:c>
      <x:c r="D20" s="41" t="str">
        <x:v>Own website</x:v>
      </x:c>
      <x:c r="E20" s="41" t="n">
        <x:v>167</x:v>
      </x:c>
      <x:c r="F20" s="41" t="n">
        <x:v>191</x:v>
      </x:c>
      <x:c r="G20" s="41" t="n">
        <x:v>-24</x:v>
      </x:c>
      <x:c r="H20" s="41" t="n">
        <x:v>-12.56544502617801</x:v>
      </x:c>
      <x:c r="I20" s="41" t="str">
        <x:v>Underpriced</x:v>
      </x:c>
      <x:c r="J20" s="41" t="str">
        <x:v>Out of stock</x:v>
      </x:c>
      <x:c r="K20" s="41" t="n">
        <x:v>2</x:v>
      </x:c>
      <x:c r="L20" s="41" t="n">
        <x:v>-10.695187165775401</x:v>
      </x:c>
      <x:c r="M20" s="41" t="str">
        <x:v>High</x:v>
      </x:c>
      <x:c r="N20" s="41" t="str">
        <x:v>Same-platform competitor evidence available</x:v>
      </x:c>
      <x:c r="O20" s="41" t="str">
        <x:v>Review margin opportunity; keep discount if it is strategically intentional.</x:v>
      </x:c>
    </x:row>
    <x:row r="21" ht="15" hidden="0" customHeight="1">
      <x:c r="A21" s="41" t="n">
        <x:v>45978</x:v>
      </x:c>
      <x:c r="B21" s="41" t="str">
        <x:v>Beauty</x:v>
      </x:c>
      <x:c r="C21" s="41" t="str">
        <x:v>Beard Trimmer</x:v>
      </x:c>
      <x:c r="D21" s="41" t="str">
        <x:v>Marketplace</x:v>
      </x:c>
      <x:c r="E21" s="41" t="n">
        <x:v>1230</x:v>
      </x:c>
      <x:c r="F21" s="41" t="n">
        <x:v>1402.6666666666667</x:v>
      </x:c>
      <x:c r="G21" s="41" t="n">
        <x:v>-172.66666666666674</x:v>
      </x:c>
      <x:c r="H21" s="41" t="n">
        <x:v>-12.309885931558942</x:v>
      </x:c>
      <x:c r="I21" s="41" t="str">
        <x:v>Underpriced</x:v>
      </x:c>
      <x:c r="J21" s="41" t="str">
        <x:v>Out of stock</x:v>
      </x:c>
      <x:c r="K21" s="41" t="n">
        <x:v>2</x:v>
      </x:c>
      <x:c r="L21" s="41" t="n">
        <x:v>-16.155419222903884</x:v>
      </x:c>
      <x:c r="M21" s="41" t="str">
        <x:v>High</x:v>
      </x:c>
      <x:c r="N21" s="41" t="str">
        <x:v>Same-platform competitor evidence available</x:v>
      </x:c>
      <x:c r="O21" s="41" t="str">
        <x:v>Review margin opportunity; keep discount if it is strategically intentional.</x:v>
      </x:c>
    </x:row>
    <x:row r="22" ht="15" hidden="0" customHeight="1">
      <x:c r="A22" s="41" t="n">
        <x:v>46027</x:v>
      </x:c>
      <x:c r="B22" s="41" t="str">
        <x:v>Home &amp; Kitchen</x:v>
      </x:c>
      <x:c r="C22" s="41" t="str">
        <x:v>Steel Water Bottle</x:v>
      </x:c>
      <x:c r="D22" s="41" t="str">
        <x:v>Quick-commerce app</x:v>
      </x:c>
      <x:c r="E22" s="41" t="n">
        <x:v>604</x:v>
      </x:c>
      <x:c r="F22" s="41" t="n">
        <x:v>538</x:v>
      </x:c>
      <x:c r="G22" s="41" t="n">
        <x:v>66</x:v>
      </x:c>
      <x:c r="H22" s="41" t="n">
        <x:v>12.267657992565056</x:v>
      </x:c>
      <x:c r="I22" s="41" t="str">
        <x:v>Overpriced</x:v>
      </x:c>
      <x:c r="J22" s="41" t="str">
        <x:v>In stock</x:v>
      </x:c>
      <x:c r="K22" s="41" t="n">
        <x:v>0</x:v>
      </x:c>
      <x:c r="L22" s="41"/>
      <x:c r="M22" s="41" t="str">
        <x:v>High</x:v>
      </x:c>
      <x:c r="N22" s="41" t="str">
        <x:v>Cross-platform benchmark only</x:v>
      </x:c>
      <x:c r="O22" s="41" t="str">
        <x:v>Review price/promotion or document why the premium is justified.</x:v>
      </x:c>
    </x:row>
    <x:row r="23" ht="15" hidden="0" customHeight="1">
      <x:c r="A23" s="41" t="n">
        <x:v>46041</x:v>
      </x:c>
      <x:c r="B23" s="41" t="str">
        <x:v>Beauty</x:v>
      </x:c>
      <x:c r="C23" s="41" t="str">
        <x:v>Beard Trimmer</x:v>
      </x:c>
      <x:c r="D23" s="41" t="str">
        <x:v>Marketplace</x:v>
      </x:c>
      <x:c r="E23" s="41" t="n">
        <x:v>2649</x:v>
      </x:c>
      <x:c r="F23" s="41" t="n">
        <x:v>2362.6666666666665</x:v>
      </x:c>
      <x:c r="G23" s="41" t="n">
        <x:v>286.3333333333335</x:v>
      </x:c>
      <x:c r="H23" s="41" t="n">
        <x:v>12.11907449209933</x:v>
      </x:c>
      <x:c r="I23" s="41" t="str">
        <x:v>Overpriced</x:v>
      </x:c>
      <x:c r="J23" s="41" t="str">
        <x:v>In stock</x:v>
      </x:c>
      <x:c r="K23" s="41" t="n">
        <x:v>0</x:v>
      </x:c>
      <x:c r="L23" s="41"/>
      <x:c r="M23" s="41" t="str">
        <x:v>High</x:v>
      </x:c>
      <x:c r="N23" s="41" t="str">
        <x:v>Cross-platform benchmark only</x:v>
      </x:c>
      <x:c r="O23" s="41" t="str">
        <x:v>Review price/promotion or document why the premium is justified.</x:v>
      </x:c>
    </x:row>
    <x:row r="24" ht="15" hidden="0" customHeight="1">
      <x:c r="A24" s="41" t="n">
        <x:v>46034</x:v>
      </x:c>
      <x:c r="B24" s="41" t="str">
        <x:v>Grocery</x:v>
      </x:c>
      <x:c r="C24" s="41" t="str">
        <x:v>Green Tea 100 bags</x:v>
      </x:c>
      <x:c r="D24" s="41" t="str">
        <x:v>Quick-commerce app</x:v>
      </x:c>
      <x:c r="E24" s="41" t="n">
        <x:v>294</x:v>
      </x:c>
      <x:c r="F24" s="41" t="n">
        <x:v>334</x:v>
      </x:c>
      <x:c r="G24" s="41" t="n">
        <x:v>-40</x:v>
      </x:c>
      <x:c r="H24" s="41" t="n">
        <x:v>-11.976047904191617</x:v>
      </x:c>
      <x:c r="I24" s="41" t="str">
        <x:v>Underpriced</x:v>
      </x:c>
      <x:c r="J24" s="41" t="str">
        <x:v>Out of stock</x:v>
      </x:c>
      <x:c r="K24" s="41" t="n">
        <x:v>1</x:v>
      </x:c>
      <x:c r="L24" s="41" t="n">
        <x:v>-16.477272727272727</x:v>
      </x:c>
      <x:c r="M24" s="41" t="str">
        <x:v>High</x:v>
      </x:c>
      <x:c r="N24" s="41" t="str">
        <x:v>Same-platform competitor evidence available</x:v>
      </x:c>
      <x:c r="O24" s="41" t="str">
        <x:v>Review margin opportunity; keep discount if it is strategically intentional.</x:v>
      </x:c>
    </x:row>
    <x:row r="25" ht="15" hidden="0" customHeight="1">
      <x:c r="A25" s="41" t="n">
        <x:v>46020</x:v>
      </x:c>
      <x:c r="B25" s="41" t="str">
        <x:v>Grocery</x:v>
      </x:c>
      <x:c r="C25" s="41" t="str">
        <x:v>Organic Jaggery 1kg</x:v>
      </x:c>
      <x:c r="D25" s="41" t="str">
        <x:v>Quick-commerce app</x:v>
      </x:c>
      <x:c r="E25" s="41" t="n">
        <x:v>144</x:v>
      </x:c>
      <x:c r="F25" s="41" t="n">
        <x:v>162.66666666666666</x:v>
      </x:c>
      <x:c r="G25" s="41" t="n">
        <x:v>-18.666666666666657</x:v>
      </x:c>
      <x:c r="H25" s="41" t="n">
        <x:v>-11.475409836065568</x:v>
      </x:c>
      <x:c r="I25" s="41" t="str">
        <x:v>Underpriced</x:v>
      </x:c>
      <x:c r="J25" s="41" t="str">
        <x:v>Out of stock</x:v>
      </x:c>
      <x:c r="K25" s="41" t="n">
        <x:v>1</x:v>
      </x:c>
      <x:c r="L25" s="41" t="n">
        <x:v>-13.77245508982036</x:v>
      </x:c>
      <x:c r="M25" s="41" t="str">
        <x:v>High</x:v>
      </x:c>
      <x:c r="N25" s="41" t="str">
        <x:v>Same-platform competitor evidence available</x:v>
      </x:c>
      <x:c r="O25" s="41" t="str">
        <x:v>Review margin opportunity; keep discount if it is strategically intentional.</x:v>
      </x:c>
    </x:row>
    <x:row r="26" ht="15" hidden="0" customHeight="1">
      <x:c r="A26" s="41" t="n">
        <x:v>46041</x:v>
      </x:c>
      <x:c r="B26" s="41" t="str">
        <x:v>Home &amp; Kitchen</x:v>
      </x:c>
      <x:c r="C26" s="41" t="str">
        <x:v>Steel Water Bottle</x:v>
      </x:c>
      <x:c r="D26" s="41" t="str">
        <x:v>Quick-commerce app</x:v>
      </x:c>
      <x:c r="E26" s="41" t="n">
        <x:v>691</x:v>
      </x:c>
      <x:c r="F26" s="41" t="n">
        <x:v>779.3333333333334</x:v>
      </x:c>
      <x:c r="G26" s="41" t="n">
        <x:v>-88.33333333333337</x:v>
      </x:c>
      <x:c r="H26" s="41" t="n">
        <x:v>-11.334473909324213</x:v>
      </x:c>
      <x:c r="I26" s="41" t="str">
        <x:v>Underpriced</x:v>
      </x:c>
      <x:c r="J26" s="41" t="str">
        <x:v>Low stock</x:v>
      </x:c>
      <x:c r="K26" s="41" t="n">
        <x:v>0</x:v>
      </x:c>
      <x:c r="L26" s="41"/>
      <x:c r="M26" s="41" t="str">
        <x:v>High</x:v>
      </x:c>
      <x:c r="N26" s="41" t="str">
        <x:v>Cross-platform benchmark only</x:v>
      </x:c>
      <x:c r="O26" s="41" t="str">
        <x:v>Review margin opportunity; keep discount if it is strategically intentional.</x:v>
      </x:c>
    </x:row>
    <x:row r="27" ht="15" hidden="0" customHeight="1">
      <x:c r="A27" s="41" t="n">
        <x:v>45999</x:v>
      </x:c>
      <x:c r="B27" s="41" t="str">
        <x:v>Grocery</x:v>
      </x:c>
      <x:c r="C27" s="41" t="str">
        <x:v>Basmati Rice 5kg</x:v>
      </x:c>
      <x:c r="D27" s="41" t="str">
        <x:v>Marketplace</x:v>
      </x:c>
      <x:c r="E27" s="41" t="n">
        <x:v>792</x:v>
      </x:c>
      <x:c r="F27" s="41" t="n">
        <x:v>712</x:v>
      </x:c>
      <x:c r="G27" s="41" t="n">
        <x:v>80</x:v>
      </x:c>
      <x:c r="H27" s="41" t="n">
        <x:v>11.235955056179774</x:v>
      </x:c>
      <x:c r="I27" s="41" t="str">
        <x:v>Overpriced</x:v>
      </x:c>
      <x:c r="J27" s="41" t="str">
        <x:v>In stock</x:v>
      </x:c>
      <x:c r="K27" s="41" t="n">
        <x:v>2</x:v>
      </x:c>
      <x:c r="L27" s="41" t="n">
        <x:v>17.857142857142858</x:v>
      </x:c>
      <x:c r="M27" s="41" t="str">
        <x:v>High</x:v>
      </x:c>
      <x:c r="N27" s="41" t="str">
        <x:v>Same-platform competitor evidence available</x:v>
      </x:c>
      <x:c r="O27" s="41" t="str">
        <x:v>Review price/promotion or document why the premium is justified.</x:v>
      </x:c>
    </x:row>
    <x:row r="28" ht="15" hidden="0" customHeight="1">
      <x:c r="A28" s="41" t="n">
        <x:v>45999</x:v>
      </x:c>
      <x:c r="B28" s="41" t="str">
        <x:v>Home &amp; Kitchen</x:v>
      </x:c>
      <x:c r="C28" s="41" t="str">
        <x:v>Air Fryer</x:v>
      </x:c>
      <x:c r="D28" s="41" t="str">
        <x:v>Own website</x:v>
      </x:c>
      <x:c r="E28" s="41" t="n">
        <x:v>5314</x:v>
      </x:c>
      <x:c r="F28" s="41" t="n">
        <x:v>4789.666666666667</x:v>
      </x:c>
      <x:c r="G28" s="41" t="n">
        <x:v>524.333333333333</x:v>
      </x:c>
      <x:c r="H28" s="41" t="n">
        <x:v>10.947177952536704</x:v>
      </x:c>
      <x:c r="I28" s="41" t="str">
        <x:v>Overpriced</x:v>
      </x:c>
      <x:c r="J28" s="41" t="str">
        <x:v>In stock</x:v>
      </x:c>
      <x:c r="K28" s="41" t="n">
        <x:v>0</x:v>
      </x:c>
      <x:c r="L28" s="41"/>
      <x:c r="M28" s="41" t="str">
        <x:v>High</x:v>
      </x:c>
      <x:c r="N28" s="41" t="str">
        <x:v>Cross-platform benchmark only</x:v>
      </x:c>
      <x:c r="O28" s="41" t="str">
        <x:v>Review price/promotion or document why the premium is justified.</x:v>
      </x:c>
    </x:row>
    <x:row r="29" ht="15" hidden="0" customHeight="1">
      <x:c r="A29" s="41" t="n">
        <x:v>46020</x:v>
      </x:c>
      <x:c r="B29" s="41" t="str">
        <x:v>Beauty</x:v>
      </x:c>
      <x:c r="C29" s="41" t="str">
        <x:v>Lipstick</x:v>
      </x:c>
      <x:c r="D29" s="41" t="str">
        <x:v>Quick-commerce app</x:v>
      </x:c>
      <x:c r="E29" s="41" t="n">
        <x:v>561</x:v>
      </x:c>
      <x:c r="F29" s="41" t="n">
        <x:v>505.6666666666667</x:v>
      </x:c>
      <x:c r="G29" s="41" t="n">
        <x:v>55.333333333333314</x:v>
      </x:c>
      <x:c r="H29" s="41" t="n">
        <x:v>10.942649967040206</x:v>
      </x:c>
      <x:c r="I29" s="41" t="str">
        <x:v>Overpriced</x:v>
      </x:c>
      <x:c r="J29" s="41" t="str">
        <x:v>Low stock</x:v>
      </x:c>
      <x:c r="K29" s="41" t="n">
        <x:v>0</x:v>
      </x:c>
      <x:c r="L29" s="41"/>
      <x:c r="M29" s="41" t="str">
        <x:v>High</x:v>
      </x:c>
      <x:c r="N29" s="41" t="str">
        <x:v>Cross-platform benchmark only</x:v>
      </x:c>
      <x:c r="O29" s="41" t="str">
        <x:v>Review price/promotion or document why the premium is justified.</x:v>
      </x:c>
    </x:row>
    <x:row r="30" ht="15" hidden="0" customHeight="1">
      <x:c r="A30" s="41" t="n">
        <x:v>46055</x:v>
      </x:c>
      <x:c r="B30" s="41" t="str">
        <x:v>Home &amp; Kitchen</x:v>
      </x:c>
      <x:c r="C30" s="41" t="str">
        <x:v>Mixer Grinder</x:v>
      </x:c>
      <x:c r="D30" s="41" t="str">
        <x:v>Marketplace</x:v>
      </x:c>
      <x:c r="E30" s="41" t="n">
        <x:v>4550</x:v>
      </x:c>
      <x:c r="F30" s="41" t="n">
        <x:v>5098</x:v>
      </x:c>
      <x:c r="G30" s="41" t="n">
        <x:v>-548</x:v>
      </x:c>
      <x:c r="H30" s="41" t="n">
        <x:v>-10.749313456257356</x:v>
      </x:c>
      <x:c r="I30" s="41" t="str">
        <x:v>Underpriced</x:v>
      </x:c>
      <x:c r="J30" s="41" t="str">
        <x:v>Out of stock</x:v>
      </x:c>
      <x:c r="K30" s="41" t="n">
        <x:v>1</x:v>
      </x:c>
      <x:c r="L30" s="41" t="n">
        <x:v>-13.415794481446241</x:v>
      </x:c>
      <x:c r="M30" s="41" t="str">
        <x:v>High</x:v>
      </x:c>
      <x:c r="N30" s="41" t="str">
        <x:v>Same-platform competitor evidence available</x:v>
      </x:c>
      <x:c r="O30" s="41" t="str">
        <x:v>Review margin opportunity; keep discount if it is strategically intentional.</x:v>
      </x:c>
    </x:row>
    <x:row r="31" ht="15" hidden="0" customHeight="1">
      <x:c r="A31" s="41" t="n">
        <x:v>46034</x:v>
      </x:c>
      <x:c r="B31" s="41" t="str">
        <x:v>Fashion</x:v>
      </x:c>
      <x:c r="C31" s="41" t="str">
        <x:v>Running Shoes</x:v>
      </x:c>
      <x:c r="D31" s="41" t="str">
        <x:v>Own website</x:v>
      </x:c>
      <x:c r="E31" s="41" t="n">
        <x:v>3694</x:v>
      </x:c>
      <x:c r="F31" s="41" t="n">
        <x:v>3336</x:v>
      </x:c>
      <x:c r="G31" s="41" t="n">
        <x:v>358</x:v>
      </x:c>
      <x:c r="H31" s="41" t="n">
        <x:v>10.731414868105515</x:v>
      </x:c>
      <x:c r="I31" s="41" t="str">
        <x:v>Overpriced</x:v>
      </x:c>
      <x:c r="J31" s="41" t="str">
        <x:v>Out of stock</x:v>
      </x:c>
      <x:c r="K31" s="41" t="n">
        <x:v>1</x:v>
      </x:c>
      <x:c r="L31" s="41" t="n">
        <x:v>14.22387136672851</x:v>
      </x:c>
      <x:c r="M31" s="41" t="str">
        <x:v>High</x:v>
      </x:c>
      <x:c r="N31" s="41" t="str">
        <x:v>Same-platform competitor evidence available</x:v>
      </x:c>
      <x:c r="O31" s="41" t="str">
        <x:v>Review price/promotion or document why the premium is justified.</x:v>
      </x:c>
    </x:row>
    <x:row r="32" ht="15" hidden="0" customHeight="1">
      <x:c r="A32" s="41" t="n">
        <x:v>46020</x:v>
      </x:c>
      <x:c r="B32" s="41" t="str">
        <x:v>Home &amp; Kitchen</x:v>
      </x:c>
      <x:c r="C32" s="41" t="str">
        <x:v>Pressure Cooker 5L</x:v>
      </x:c>
      <x:c r="D32" s="41" t="str">
        <x:v>Own website</x:v>
      </x:c>
      <x:c r="E32" s="41" t="n">
        <x:v>1973</x:v>
      </x:c>
      <x:c r="F32" s="41" t="n">
        <x:v>1786</x:v>
      </x:c>
      <x:c r="G32" s="41" t="n">
        <x:v>187</x:v>
      </x:c>
      <x:c r="H32" s="41" t="n">
        <x:v>10.470324748040314</x:v>
      </x:c>
      <x:c r="I32" s="41" t="str">
        <x:v>Overpriced</x:v>
      </x:c>
      <x:c r="J32" s="41" t="str">
        <x:v>In stock</x:v>
      </x:c>
      <x:c r="K32" s="41" t="n">
        <x:v>3</x:v>
      </x:c>
      <x:c r="L32" s="41" t="n">
        <x:v>10.470324748040314</x:v>
      </x:c>
      <x:c r="M32" s="41" t="str">
        <x:v>High</x:v>
      </x:c>
      <x:c r="N32" s="41" t="str">
        <x:v>Same-platform competitor evidence available</x:v>
      </x:c>
      <x:c r="O32" s="41" t="str">
        <x:v>Review price/promotion or document why the premium is justified.</x:v>
      </x:c>
    </x:row>
    <x:row r="33" ht="15" hidden="0" customHeight="1">
      <x:c r="A33" s="41" t="n">
        <x:v>45978</x:v>
      </x:c>
      <x:c r="B33" s="41" t="str">
        <x:v>Fashion</x:v>
      </x:c>
      <x:c r="C33" s="41" t="str">
        <x:v>Saree</x:v>
      </x:c>
      <x:c r="D33" s="41" t="str">
        <x:v>Own website</x:v>
      </x:c>
      <x:c r="E33" s="41" t="n">
        <x:v>1892</x:v>
      </x:c>
      <x:c r="F33" s="41" t="n">
        <x:v>2112.6666666666665</x:v>
      </x:c>
      <x:c r="G33" s="41" t="n">
        <x:v>-220.66666666666652</x:v>
      </x:c>
      <x:c r="H33" s="41" t="n">
        <x:v>-10.444935310823597</x:v>
      </x:c>
      <x:c r="I33" s="41" t="str">
        <x:v>Underpriced</x:v>
      </x:c>
      <x:c r="J33" s="41" t="str">
        <x:v>In stock</x:v>
      </x:c>
      <x:c r="K33" s="41" t="n">
        <x:v>1</x:v>
      </x:c>
      <x:c r="L33" s="41" t="n">
        <x:v>-16.023080337328008</x:v>
      </x:c>
      <x:c r="M33" s="41" t="str">
        <x:v>High</x:v>
      </x:c>
      <x:c r="N33" s="41" t="str">
        <x:v>Same-platform competitor evidence available</x:v>
      </x:c>
      <x:c r="O33" s="41" t="str">
        <x:v>Review margin opportunity; keep discount if it is strategically intentional.</x:v>
      </x:c>
    </x:row>
    <x:row r="34" ht="15" hidden="0" customHeight="1">
      <x:c r="A34" s="41" t="n">
        <x:v>45971</x:v>
      </x:c>
      <x:c r="B34" s="41" t="str">
        <x:v>Electronics</x:v>
      </x:c>
      <x:c r="C34" s="41" t="str">
        <x:v>USB-C Charger 65W</x:v>
      </x:c>
      <x:c r="D34" s="41" t="str">
        <x:v>Marketplace</x:v>
      </x:c>
      <x:c r="E34" s="41" t="n">
        <x:v>1184</x:v>
      </x:c>
      <x:c r="F34" s="41" t="n">
        <x:v>1322</x:v>
      </x:c>
      <x:c r="G34" s="41" t="n">
        <x:v>-138</x:v>
      </x:c>
      <x:c r="H34" s="41" t="n">
        <x:v>-10.43872919818457</x:v>
      </x:c>
      <x:c r="I34" s="41" t="str">
        <x:v>Underpriced</x:v>
      </x:c>
      <x:c r="J34" s="41" t="str">
        <x:v>Low stock</x:v>
      </x:c>
      <x:c r="K34" s="41" t="n">
        <x:v>0</x:v>
      </x:c>
      <x:c r="L34" s="41"/>
      <x:c r="M34" s="41" t="str">
        <x:v>High</x:v>
      </x:c>
      <x:c r="N34" s="41" t="str">
        <x:v>Cross-platform benchmark only</x:v>
      </x:c>
      <x:c r="O34" s="41" t="str">
        <x:v>Review margin opportunity; keep discount if it is strategically intentional.</x:v>
      </x:c>
    </x:row>
    <x:row r="35" ht="15" hidden="0" customHeight="1">
      <x:c r="A35" s="41" t="n">
        <x:v>45957</x:v>
      </x:c>
      <x:c r="B35" s="41" t="str">
        <x:v>Grocery</x:v>
      </x:c>
      <x:c r="C35" s="41" t="str">
        <x:v>Organic Jaggery 1kg</x:v>
      </x:c>
      <x:c r="D35" s="41" t="str">
        <x:v>Marketplace</x:v>
      </x:c>
      <x:c r="E35" s="41" t="n">
        <x:v>246</x:v>
      </x:c>
      <x:c r="F35" s="41" t="n">
        <x:v>223.66666666666666</x:v>
      </x:c>
      <x:c r="G35" s="41" t="n">
        <x:v>22.333333333333343</x:v>
      </x:c>
      <x:c r="H35" s="41" t="n">
        <x:v>9.985096870342778</x:v>
      </x:c>
      <x:c r="I35" s="41" t="str">
        <x:v>Overpriced</x:v>
      </x:c>
      <x:c r="J35" s="41" t="str">
        <x:v>Low stock</x:v>
      </x:c>
      <x:c r="K35" s="41" t="n">
        <x:v>1</x:v>
      </x:c>
      <x:c r="L35" s="41" t="n">
        <x:v>9.333333333333334</x:v>
      </x:c>
      <x:c r="M35" s="41" t="str">
        <x:v>Medium</x:v>
      </x:c>
      <x:c r="N35" s="41" t="str">
        <x:v>Same-platform competitor evidence available</x:v>
      </x:c>
      <x:c r="O35" s="41" t="str">
        <x:v>Review price/promotion or document why the premium is justified.</x:v>
      </x:c>
    </x:row>
    <x:row r="36" ht="15" hidden="0" customHeight="1">
      <x:c r="A36" s="41" t="n">
        <x:v>46055</x:v>
      </x:c>
      <x:c r="B36" s="41" t="str">
        <x:v>Electronics</x:v>
      </x:c>
      <x:c r="C36" s="41" t="str">
        <x:v>Smartwatch</x:v>
      </x:c>
      <x:c r="D36" s="41" t="str">
        <x:v>Own website</x:v>
      </x:c>
      <x:c r="E36" s="41" t="n">
        <x:v>10206</x:v>
      </x:c>
      <x:c r="F36" s="41" t="n">
        <x:v>9296</x:v>
      </x:c>
      <x:c r="G36" s="41" t="n">
        <x:v>910</x:v>
      </x:c>
      <x:c r="H36" s="41" t="n">
        <x:v>9.789156626506024</x:v>
      </x:c>
      <x:c r="I36" s="41" t="str">
        <x:v>Overpriced</x:v>
      </x:c>
      <x:c r="J36" s="41" t="str">
        <x:v>Low stock</x:v>
      </x:c>
      <x:c r="K36" s="41" t="n">
        <x:v>1</x:v>
      </x:c>
      <x:c r="L36" s="41" t="n">
        <x:v>24.17569047329359</x:v>
      </x:c>
      <x:c r="M36" s="41" t="str">
        <x:v>Medium</x:v>
      </x:c>
      <x:c r="N36" s="41" t="str">
        <x:v>Same-platform competitor evidence available</x:v>
      </x:c>
      <x:c r="O36" s="41" t="str">
        <x:v>Review price/promotion or document why the premium is justified.</x:v>
      </x:c>
    </x:row>
    <x:row r="37" ht="15" hidden="0" customHeight="1">
      <x:c r="A37" s="41" t="n">
        <x:v>45999</x:v>
      </x:c>
      <x:c r="B37" s="41" t="str">
        <x:v>Beauty</x:v>
      </x:c>
      <x:c r="C37" s="41" t="str">
        <x:v>Lipstick</x:v>
      </x:c>
      <x:c r="D37" s="41" t="str">
        <x:v>Quick-commerce app</x:v>
      </x:c>
      <x:c r="E37" s="41" t="n">
        <x:v>418</x:v>
      </x:c>
      <x:c r="F37" s="41" t="n">
        <x:v>381.3333333333333</x:v>
      </x:c>
      <x:c r="G37" s="41" t="n">
        <x:v>36.666666666666686</x:v>
      </x:c>
      <x:c r="H37" s="41" t="n">
        <x:v>9.615384615384622</x:v>
      </x:c>
      <x:c r="I37" s="41" t="str">
        <x:v>Overpriced</x:v>
      </x:c>
      <x:c r="J37" s="41" t="str">
        <x:v>In stock</x:v>
      </x:c>
      <x:c r="K37" s="41" t="n">
        <x:v>1</x:v>
      </x:c>
      <x:c r="L37" s="41" t="n">
        <x:v>-0.23866348448687352</x:v>
      </x:c>
      <x:c r="M37" s="41" t="str">
        <x:v>Medium</x:v>
      </x:c>
      <x:c r="N37" s="41" t="str">
        <x:v>Same-platform competitor evidence available</x:v>
      </x:c>
      <x:c r="O37" s="41" t="str">
        <x:v>Review price/promotion or document why the premium is justified.</x:v>
      </x:c>
    </x:row>
    <x:row r="38" ht="15" hidden="0" customHeight="1">
      <x:c r="A38" s="41" t="n">
        <x:v>46069</x:v>
      </x:c>
      <x:c r="B38" s="41" t="str">
        <x:v>Electronics</x:v>
      </x:c>
      <x:c r="C38" s="41" t="str">
        <x:v>USB-C Charger 65W</x:v>
      </x:c>
      <x:c r="D38" s="41" t="str">
        <x:v>Marketplace</x:v>
      </x:c>
      <x:c r="E38" s="41" t="n">
        <x:v>1326</x:v>
      </x:c>
      <x:c r="F38" s="41" t="n">
        <x:v>1463.6666666666667</x:v>
      </x:c>
      <x:c r="G38" s="41" t="n">
        <x:v>-137.66666666666674</x:v>
      </x:c>
      <x:c r="H38" s="41" t="n">
        <x:v>-9.40560236848099</x:v>
      </x:c>
      <x:c r="I38" s="41" t="str">
        <x:v>Underpriced</x:v>
      </x:c>
      <x:c r="J38" s="41" t="str">
        <x:v>In stock</x:v>
      </x:c>
      <x:c r="K38" s="41" t="n">
        <x:v>2</x:v>
      </x:c>
      <x:c r="L38" s="41" t="n">
        <x:v>-6.914706914706915</x:v>
      </x:c>
      <x:c r="M38" s="41" t="str">
        <x:v>Medium</x:v>
      </x:c>
      <x:c r="N38" s="41" t="str">
        <x:v>Same-platform competitor evidence available</x:v>
      </x:c>
      <x:c r="O38" s="41" t="str">
        <x:v>Review margin opportunity; keep discount if it is strategically intentional.</x:v>
      </x:c>
    </x:row>
    <x:row r="39" ht="15" hidden="0" customHeight="1">
      <x:c r="A39" s="41" t="n">
        <x:v>46048</x:v>
      </x:c>
      <x:c r="B39" s="41" t="str">
        <x:v>Electronics</x:v>
      </x:c>
      <x:c r="C39" s="41" t="str">
        <x:v>Wireless Earbuds</x:v>
      </x:c>
      <x:c r="D39" s="41" t="str">
        <x:v>Marketplace</x:v>
      </x:c>
      <x:c r="E39" s="41" t="n">
        <x:v>3433</x:v>
      </x:c>
      <x:c r="F39" s="41" t="n">
        <x:v>3789</x:v>
      </x:c>
      <x:c r="G39" s="41" t="n">
        <x:v>-356</x:v>
      </x:c>
      <x:c r="H39" s="41" t="n">
        <x:v>-9.395618896806546</x:v>
      </x:c>
      <x:c r="I39" s="41" t="str">
        <x:v>Underpriced</x:v>
      </x:c>
      <x:c r="J39" s="41" t="str">
        <x:v>In stock</x:v>
      </x:c>
      <x:c r="K39" s="41" t="n">
        <x:v>0</x:v>
      </x:c>
      <x:c r="L39" s="41"/>
      <x:c r="M39" s="41" t="str">
        <x:v>Medium</x:v>
      </x:c>
      <x:c r="N39" s="41" t="str">
        <x:v>Cross-platform benchmark only</x:v>
      </x:c>
      <x:c r="O39" s="41" t="str">
        <x:v>Review margin opportunity; keep discount if it is strategically intentional.</x:v>
      </x:c>
    </x:row>
    <x:row r="40" ht="15" hidden="0" customHeight="1">
      <x:c r="A40" s="41" t="n">
        <x:v>46055</x:v>
      </x:c>
      <x:c r="B40" s="41" t="str">
        <x:v>Home &amp; Kitchen</x:v>
      </x:c>
      <x:c r="C40" s="41" t="str">
        <x:v>Steel Water Bottle</x:v>
      </x:c>
      <x:c r="D40" s="41" t="str">
        <x:v>Own website</x:v>
      </x:c>
      <x:c r="E40" s="41" t="n">
        <x:v>819</x:v>
      </x:c>
      <x:c r="F40" s="41" t="n">
        <x:v>749.3333333333334</x:v>
      </x:c>
      <x:c r="G40" s="41" t="n">
        <x:v>69.66666666666663</x:v>
      </x:c>
      <x:c r="H40" s="41" t="n">
        <x:v>9.297153024911028</x:v>
      </x:c>
      <x:c r="I40" s="41" t="str">
        <x:v>Overpriced</x:v>
      </x:c>
      <x:c r="J40" s="41" t="str">
        <x:v>Low stock</x:v>
      </x:c>
      <x:c r="K40" s="41" t="n">
        <x:v>1</x:v>
      </x:c>
      <x:c r="L40" s="41" t="n">
        <x:v>6.363636363636363</x:v>
      </x:c>
      <x:c r="M40" s="41" t="str">
        <x:v>Medium</x:v>
      </x:c>
      <x:c r="N40" s="41" t="str">
        <x:v>Same-platform competitor evidence available</x:v>
      </x:c>
      <x:c r="O40" s="41" t="str">
        <x:v>Review price/promotion or document why the premium is justified.</x:v>
      </x:c>
    </x:row>
    <x:row r="41" ht="15" hidden="0" customHeight="1">
      <x:c r="A41" s="41" t="n">
        <x:v>45999</x:v>
      </x:c>
      <x:c r="B41" s="41" t="str">
        <x:v>Home &amp; Kitchen</x:v>
      </x:c>
      <x:c r="C41" s="41" t="str">
        <x:v>Mixer Grinder</x:v>
      </x:c>
      <x:c r="D41" s="41" t="str">
        <x:v>Quick-commerce app</x:v>
      </x:c>
      <x:c r="E41" s="41" t="n">
        <x:v>2353</x:v>
      </x:c>
      <x:c r="F41" s="41" t="n">
        <x:v>2586.3333333333335</x:v>
      </x:c>
      <x:c r="G41" s="41" t="n">
        <x:v>-233.33333333333348</x:v>
      </x:c>
      <x:c r="H41" s="41" t="n">
        <x:v>-9.021781157365645</x:v>
      </x:c>
      <x:c r="I41" s="41" t="str">
        <x:v>Underpriced</x:v>
      </x:c>
      <x:c r="J41" s="41" t="str">
        <x:v>In stock</x:v>
      </x:c>
      <x:c r="K41" s="41" t="n">
        <x:v>1</x:v>
      </x:c>
      <x:c r="L41" s="41" t="n">
        <x:v>-8.7984496124031</x:v>
      </x:c>
      <x:c r="M41" s="41" t="str">
        <x:v>Medium</x:v>
      </x:c>
      <x:c r="N41" s="41" t="str">
        <x:v>Same-platform competitor evidence available</x:v>
      </x:c>
      <x:c r="O41" s="41" t="str">
        <x:v>Review margin opportunity; keep discount if it is strategically intentional.</x:v>
      </x:c>
    </x:row>
    <x:row r="42" ht="15" hidden="0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</x:row>
    <x:row r="43" ht="15" hidden="0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</x:row>
    <x:row r="44" ht="15" hidden="0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</x:row>
    <x:row r="45" ht="15" hidden="0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</x:row>
    <x:row r="46" ht="15" hidden="0" customHeight="1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</x:row>
    <x:row r="47" ht="15" hidden="0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</x:row>
    <x:row r="48" ht="15" hidden="0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</x:row>
    <x:row r="49" ht="15" hidden="0" customHeight="1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</x:row>
    <x:row r="50" ht="15" hidden="0" customHeight="1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.8799991607666" hidden="0" customWidth="1"/>
    <x:col min="2" max="2" width="5.5" hidden="0" customWidth="1"/>
    <x:col min="3" max="3" width="59" hidden="0" customWidth="1"/>
  </x:cols>
  <x:sheetData>
    <x:row r="1" ht="15" hidden="0" customHeight="1">
      <x:c r="A1" s="47" t="str">
        <x:v>check</x:v>
      </x:c>
      <x:c r="B1" s="47" t="str">
        <x:v>status</x:v>
      </x:c>
      <x:c r="C1" s="47" t="str">
        <x:v>detail</x:v>
      </x:c>
    </x:row>
    <x:row r="2" ht="15" hidden="0" customHeight="1">
      <x:c r="A2" s="41" t="str">
        <x:v>Source row count</x:v>
      </x:c>
      <x:c r="B2" s="75" t="str">
        <x:v>PASS</x:v>
      </x:c>
      <x:c r="C2" s="41" t="str">
        <x:v>Found 400 rows; task brief says 400.</x:v>
      </x:c>
    </x:row>
    <x:row r="3" ht="15" hidden="0" customHeight="1">
      <x:c r="A3" s="41" t="str">
        <x:v>Complete observations</x:v>
      </x:c>
      <x:c r="B3" s="75" t="str">
        <x:v>PASS</x:v>
      </x:c>
      <x:c r="C3" s="41" t="str">
        <x:v>Built 100 complete Our Brand + 3 competitor observations.</x:v>
      </x:c>
    </x:row>
    <x:row r="4" ht="15" hidden="0" customHeight="1">
      <x:c r="A4" s="41" t="str">
        <x:v>Expected seller set</x:v>
      </x:c>
      <x:c r="B4" s="75" t="str">
        <x:v>PASS</x:v>
      </x:c>
      <x:c r="C4" s="41" t="str">
        <x:v>Sellers: ['Competitor A', 'Competitor B', 'Competitor C', 'Our Brand']</x:v>
      </x:c>
    </x:row>
    <x:row r="5" ht="15" hidden="0" customHeight="1">
      <x:c r="A5" s="41" t="str">
        <x:v>No missing selling prices</x:v>
      </x:c>
      <x:c r="B5" s="75" t="str">
        <x:v>PASS</x:v>
      </x:c>
      <x:c r="C5" s="41" t="str">
        <x:v>Missing/non-numeric: 0</x:v>
      </x:c>
    </x:row>
    <x:row r="6" ht="15" hidden="0" customHeight="1">
      <x:c r="A6" s="41" t="str">
        <x:v>Three-competitor benchmark</x:v>
      </x:c>
      <x:c r="B6" s="75" t="str">
        <x:v>PASS</x:v>
      </x:c>
      <x:c r="C6" s="41" t="str">
        <x:v>Benchmark equals mean(Competitor A, B, C) for every observation.</x:v>
      </x:c>
    </x:row>
    <x:row r="7" ht="15" hidden="0" customHeight="1">
      <x:c r="A7" s="41" t="str">
        <x:v>Gap formula</x:v>
      </x:c>
      <x:c r="B7" s="75" t="str">
        <x:v>PASS</x:v>
      </x:c>
      <x:c r="C7" s="41" t="str">
        <x:v>price_gap_inr = our_price_inr - competitor_avg_price_inr for every observation.</x:v>
      </x:c>
    </x:row>
    <x:row r="8" ht="15" hidden="0" customHeight="1">
      <x:c r="A8" s="41" t="str">
        <x:v>Gap % formula</x:v>
      </x:c>
      <x:c r="B8" s="75" t="str">
        <x:v>PASS</x:v>
      </x:c>
      <x:c r="C8" s="41" t="str">
        <x:v>price_gap_pct = price_gap_inr / competitor_avg_price_inr × 100.</x:v>
      </x:c>
    </x:row>
    <x:row r="9" ht="15" hidden="0" customHeight="1">
      <x:c r="A9" s="41" t="str">
        <x:v>Three competitors per observation</x:v>
      </x:c>
      <x:c r="B9" s="75" t="str">
        <x:v>PASS</x:v>
      </x:c>
      <x:c r="C9" s="41" t="str">
        <x:v>Each observation is traceable to exactly three competitor source rows.</x:v>
      </x:c>
    </x:row>
    <x:row r="10" ht="15" hidden="0" customHeight="1">
      <x:c r="A10" s="41" t="str">
        <x:v>Same-platform logic</x:v>
      </x:c>
      <x:c r="B10" s="75" t="str">
        <x:v>PASS</x:v>
      </x:c>
      <x:c r="C10" s="41" t="str">
        <x:v>Same-platform count is restricted to 0–3 competitors.</x:v>
      </x:c>
    </x:row>
    <x:row r="11" ht="15" hidden="0" customHeight="1">
      <x:c r="A11" s="41"/>
      <x:c r="B11" s="41"/>
      <x:c r="C11" s="41"/>
    </x:row>
    <x:row r="12" ht="15" hidden="0" customHeight="1">
      <x:c r="A12" s="41"/>
      <x:c r="B12" s="41"/>
      <x:c r="C12" s="41"/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28.6299991607666" hidden="0" customWidth="1"/>
    <x:col min="3" max="3" width="107.37999725341797" hidden="0" customWidth="1"/>
  </x:cols>
  <x:sheetData>
    <x:row r="1" ht="15" hidden="0" customHeight="1">
      <x:c r="A1" s="47" t="str">
        <x:v>Entry</x:v>
      </x:c>
      <x:c r="B1" s="47" t="str">
        <x:v>Evidence file</x:v>
      </x:c>
      <x:c r="C1" s="47" t="str">
        <x:v>What it proves</x:v>
      </x:c>
    </x:row>
    <x:row r="2" ht="15" hidden="0" customHeight="1">
      <x:c r="A2" s="41" t="n">
        <x:v>1</x:v>
      </x:c>
      <x:c r="B2" s="41" t="str">
        <x:v>AI_Evidence_Transcript.pdf - Entry 01</x:v>
      </x:c>
      <x:c r="C2" s="41" t="str">
        <x:v>Correctly explained that .xlsx preserves all tabs and CSV does not.</x:v>
      </x:c>
    </x:row>
    <x:row r="3" ht="15" hidden="0" customHeight="1">
      <x:c r="A3" s="41" t="n">
        <x:v>2</x:v>
      </x:c>
      <x:c r="B3" s="41" t="str">
        <x:v>AI_Evidence_Transcript.pdf - Entry 02</x:v>
      </x:c>
      <x:c r="C3" s="41" t="str">
        <x:v>Identified T44, the price-intelligence objective, deliverables and evaluation logic.</x:v>
      </x:c>
    </x:row>
    <x:row r="4" ht="15" hidden="0" customHeight="1">
      <x:c r="A4" s="41" t="n">
        <x:v>3</x:v>
      </x:c>
      <x:c r="B4" s="41" t="str">
        <x:v>AI_Evidence_Transcript.pdf - Entry 03</x:v>
      </x:c>
      <x:c r="C4" s="41" t="str">
        <x:v>Analysed the actual data and produced an initial workbook-oriented solution.</x:v>
      </x:c>
    </x:row>
    <x:row r="5" ht="15" hidden="0" customHeight="1">
      <x:c r="A5" s="41" t="n">
        <x:v>4</x:v>
      </x:c>
      <x:c r="B5" s="41" t="str">
        <x:v>AI_Evidence_Transcript.pdf - Entry 04</x:v>
      </x:c>
      <x:c r="C5" s="41" t="str">
        <x:v>Clarified that coding was not explicitly mandatory, but a working Streamlit build would make the rubric evidence stronger.</x:v>
      </x:c>
    </x:row>
    <x:row r="6" ht="15" hidden="0" customHeight="1">
      <x:c r="A6" s="41" t="n">
        <x:v>5</x:v>
      </x:c>
      <x:c r="B6" s="41" t="str">
        <x:v>AI_Evidence_Transcript.pdf - Entry 05</x:v>
      </x:c>
      <x:c r="C6" s="41" t="str">
        <x:v>Generated the first Streamlit implementation around the real T44 dataset and deterministic price-gap logic.</x:v>
      </x:c>
    </x:row>
    <x:row r="7" ht="15" hidden="0" customHeight="1">
      <x:c r="A7" s="41" t="n">
        <x:v>6</x:v>
      </x:c>
      <x:c r="B7" s="41" t="str">
        <x:v>AI_Evidence_Transcript.pdf - Entry 06</x:v>
      </x:c>
      <x:c r="C7" s="41" t="str">
        <x:v>Gave exact terminal commands and explained that app.py must be launched through Streamlit rather than directly.</x:v>
      </x:c>
    </x:row>
    <x:row r="8" ht="15" hidden="0" customHeight="1">
      <x:c r="A8" s="41" t="n">
        <x:v>7</x:v>
      </x:c>
      <x:c r="B8" s="41" t="str">
        <x:v>AI_Evidence_Transcript.pdf - Entry 07</x:v>
      </x:c>
      <x:c r="C8" s="41" t="str">
        <x:v>Diagnosed the missing xlsxwriter dependency from the actual error instead of guessing.</x:v>
      </x:c>
    </x:row>
    <x:row r="9" ht="15" hidden="0" customHeight="1">
      <x:c r="A9" s="41" t="n">
        <x:v>8</x:v>
      </x:c>
      <x:c r="B9" s="41" t="str">
        <x:v>AI_Evidence_Transcript.pdf - Entry 08</x:v>
      </x:c>
      <x:c r="C9" s="41" t="str">
        <x:v>Critiqued the V1 app for business readability: too much table-first output, weak action emphasis and insufficient visual signalling.</x:v>
      </x:c>
    </x:row>
    <x:row r="10" ht="15" hidden="0" customHeight="1">
      <x:c r="A10" s="41" t="n">
        <x:v>9</x:v>
      </x:c>
      <x:c r="B10" s="41" t="str">
        <x:v>AI_Evidence_Transcript.pdf - Entry 09</x:v>
      </x:c>
      <x:c r="C10" s="41" t="str">
        <x:v>Produced V2 with executive dashboard, latest-week KPIs, risk/opportunity views, verification and improved export.</x:v>
      </x:c>
    </x:row>
    <x:row r="11" ht="15" hidden="0" customHeight="1">
      <x:c r="A11" s="41" t="n">
        <x:v>10</x:v>
      </x:c>
      <x:c r="B11" s="41" t="str">
        <x:v>AI_Evidence_Transcript.pdf - Entry 10</x:v>
      </x:c>
      <x:c r="C11" s="41" t="str">
        <x:v>Adjusted the commands to the actual D:\AI Project 2\T44_Streamlit_Project_V2 location.</x:v>
      </x:c>
    </x:row>
    <x:row r="12" ht="15" hidden="0" customHeight="1">
      <x:c r="A12" s="41" t="n">
        <x:v>11</x:v>
      </x:c>
      <x:c r="B12" s="41" t="str">
        <x:v>AI_Evidence_Transcript.pdf - Entry 11</x:v>
      </x:c>
      <x:c r="C12" s="41" t="str">
        <x:v>Recommended a final QA sequence before publishing: app run, filters, export, refresh and unit test.</x:v>
      </x:c>
    </x:row>
    <x:row r="13" ht="15" hidden="0" customHeight="1">
      <x:c r="A13" s="41" t="n">
        <x:v>12</x:v>
      </x:c>
      <x:c r="B13" s="41" t="str">
        <x:v>AI_Evidence_Transcript.pdf - Entry 12</x:v>
      </x:c>
      <x:c r="C13" s="41" t="str">
        <x:v>Reviewed the rendered dashboard and identified what was already correct plus a few interpretation/print-layout cautions.</x:v>
      </x:c>
    </x:row>
    <x:row r="14" ht="15" hidden="0" customHeight="1">
      <x:c r="A14" s="41" t="n">
        <x:v>13</x:v>
      </x:c>
      <x:c r="B14" s="41" t="str">
        <x:v>AI_Evidence_Transcript.pdf - Entry 13</x:v>
      </x:c>
      <x:c r="C14" s="41" t="str">
        <x:v>Verified the fallback logic: bundled T44 workbook is used when no upload is provided; upload acts only as an override.</x:v>
      </x:c>
    </x:row>
    <x:row r="15" ht="15" hidden="0" customHeight="1">
      <x:c r="A15" s="41" t="n">
        <x:v>14</x:v>
      </x:c>
      <x:c r="B15" s="41" t="str">
        <x:v>AI_Evidence_Transcript.pdf - Entry 14</x:v>
      </x:c>
      <x:c r="C15" s="41" t="str">
        <x:v>Reviewed the project package and found cleanup issues such as __pycache__ and a machine-specific README path.</x:v>
      </x:c>
    </x:row>
    <x:row r="16" ht="15" hidden="0" customHeight="1">
      <x:c r="A16" s="41" t="n">
        <x:v>15</x:v>
      </x:c>
      <x:c r="B16" s="41" t="str">
        <x:v>AI_Evidence_Transcript.pdf - Entry 15</x:v>
      </x:c>
      <x:c r="C16" s="41" t="str">
        <x:v>Re-read the actual Task Brief and confirmed the four required submission items, including the minimum-15-entry AI Use Log and 3-5 page report.</x:v>
      </x:c>
    </x:row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0.630001068115234" hidden="0" customWidth="1"/>
    <x:col min="2" max="2" width="58.75" hidden="0" customWidth="1"/>
    <x:col min="3" max="3" width="5.630000114440918" hidden="0" customWidth="1"/>
  </x:cols>
  <x:sheetData>
    <x:row r="1" ht="19.200000762939453" hidden="0" customHeight="1">
      <x:c r="A1" s="36" t="str">
        <x:v>T44 Final Submission Checklist</x:v>
      </x:c>
      <x:c r="B1" s="36"/>
      <x:c r="C1" s="36"/>
      <x:c r="D1" s="36"/>
      <x:c r="E1" s="36"/>
      <x:c r="F1" s="36"/>
    </x:row>
    <x:row r="2"/>
    <x:row r="3" ht="15" hidden="0" customHeight="1">
      <x:c r="A3" s="47" t="str">
        <x:v>Required item</x:v>
      </x:c>
      <x:c r="B3" s="47" t="str">
        <x:v>Included file / evidence</x:v>
      </x:c>
      <x:c r="C3" s="47" t="str">
        <x:v>Status</x:v>
      </x:c>
    </x:row>
    <x:row r="4" ht="15" hidden="0" customHeight="1">
      <x:c r="A4" s="41" t="str">
        <x:v>1. Working build</x:v>
      </x:c>
      <x:c r="B4" s="41" t="str">
        <x:v>Streamlit app (app.py + analysis_core.py + requirements.txt)</x:v>
      </x:c>
      <x:c r="C4" s="41" t="str">
        <x:v>Ready</x:v>
      </x:c>
    </x:row>
    <x:row r="5" ht="15" hidden="0" customHeight="1">
      <x:c r="A5" s="41" t="str">
        <x:v>2. Workbook with outputs added as new sheets</x:v>
      </x:c>
      <x:c r="B5" s="41" t="str">
        <x:v>T44_Competitor_Price_Intelligence_FINAL.xlsx</x:v>
      </x:c>
      <x:c r="C5" s="41" t="str">
        <x:v>Ready</x:v>
      </x:c>
    </x:row>
    <x:row r="6" ht="15" hidden="0" customHeight="1">
      <x:c r="A6" s="41" t="str">
        <x:v>3. Completed AI Use Log (minimum 15)</x:v>
      </x:c>
      <x:c r="B6" s="41" t="str">
        <x:v>AI Use Log sheet + AI_Evidence_Transcript.pdf</x:v>
      </x:c>
      <x:c r="C6" s="41" t="str">
        <x:v>Ready</x:v>
      </x:c>
    </x:row>
    <x:row r="7" ht="15" hidden="0" customHeight="1">
      <x:c r="A7" s="41" t="str">
        <x:v>4. 3-5 page report with recommendation and reflection</x:v>
      </x:c>
      <x:c r="B7" s="41" t="str">
        <x:v>T44_Competitor_Price_Intelligence_Report.pdf</x:v>
      </x:c>
      <x:c r="C7" s="41" t="str">
        <x:v>Ready</x:v>
      </x:c>
    </x:row>
    <x:row r="8" ht="15" hidden="0" customHeight="1">
      <x:c r="A8" s="41" t="str">
        <x:v>Verification</x:v>
      </x:c>
      <x:c r="B8" s="41" t="str">
        <x:v>test_core.py PASS: 400 rows -&gt; 100 observations; formulas and export verified</x:v>
      </x:c>
      <x:c r="C8" s="41" t="str">
        <x:v>Ready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F1"/>
  </x:mergeCells>
  <x:pageMargins left="0.7" right="0.7" top="0.75" bottom="0.75" header="0.3" footer="0.3"/>
</x:worksheet>
</file>